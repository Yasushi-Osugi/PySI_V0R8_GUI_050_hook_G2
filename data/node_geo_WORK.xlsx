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hsug\PySI_V0R8_SQL_010\data\"/>
    </mc:Choice>
  </mc:AlternateContent>
  <xr:revisionPtr revIDLastSave="0" documentId="8_{8E94104D-A6ED-4E15-B6A4-D3252BD251C0}" xr6:coauthVersionLast="47" xr6:coauthVersionMax="47" xr10:uidLastSave="{00000000-0000-0000-0000-000000000000}"/>
  <bookViews>
    <workbookView xWindow="-108" yWindow="-108" windowWidth="23256" windowHeight="12456" xr2:uid="{E877CF95-259B-4884-8316-6B196649F7F5}"/>
  </bookViews>
  <sheets>
    <sheet name="node_geo" sheetId="2" r:id="rId1"/>
    <sheet name="node_geo作業用" sheetId="1" r:id="rId2"/>
  </sheets>
  <calcPr calcId="0"/>
</workbook>
</file>

<file path=xl/calcChain.xml><?xml version="1.0" encoding="utf-8"?>
<calcChain xmlns="http://schemas.openxmlformats.org/spreadsheetml/2006/main">
  <c r="H21" i="2" l="1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sharedStrings.xml><?xml version="1.0" encoding="utf-8"?>
<sst xmlns="http://schemas.openxmlformats.org/spreadsheetml/2006/main" count="142" uniqueCount="71">
  <si>
    <t>node_name</t>
  </si>
  <si>
    <t>lat</t>
  </si>
  <si>
    <t>lon</t>
  </si>
  <si>
    <t>CS_CAL</t>
  </si>
  <si>
    <t>CS_JPN</t>
  </si>
  <si>
    <t>DADCAL</t>
  </si>
  <si>
    <t>DADGSJP</t>
  </si>
  <si>
    <t>DADJPN</t>
  </si>
  <si>
    <t>DADKosihikari</t>
  </si>
  <si>
    <t>GR_CS_JPN</t>
  </si>
  <si>
    <t>GR_JPN</t>
  </si>
  <si>
    <t>GR_RT_JPN</t>
  </si>
  <si>
    <t>GR_WS2JPN</t>
  </si>
  <si>
    <t>GRxCS_JPN</t>
  </si>
  <si>
    <t>GRxRT_JPN</t>
  </si>
  <si>
    <t>RT_CAL</t>
  </si>
  <si>
    <t>RT_JPN</t>
  </si>
  <si>
    <t>WS1CAL</t>
  </si>
  <si>
    <t>WS1JPN</t>
  </si>
  <si>
    <t>WS1Kosihikari</t>
  </si>
  <si>
    <t>WS2CAL</t>
  </si>
  <si>
    <t>WS2JPN</t>
  </si>
  <si>
    <t>supply_point</t>
  </si>
  <si>
    <t>place</t>
    <phoneticPr fontId="18"/>
  </si>
  <si>
    <t>東京都中央区</t>
    <rPh sb="0" eb="3">
      <t>トウキョウト</t>
    </rPh>
    <rPh sb="3" eb="6">
      <t>チュウオウク</t>
    </rPh>
    <phoneticPr fontId="18"/>
  </si>
  <si>
    <r>
      <t>横浜市役所</t>
    </r>
    <r>
      <rPr>
        <sz val="11"/>
        <color theme="1"/>
        <rFont val="游ゴシック"/>
        <family val="2"/>
        <charset val="128"/>
        <scheme val="minor"/>
      </rPr>
      <t xml:space="preserve"> (神奈川県横浜市中区本町6丁目50番地の10)</t>
    </r>
  </si>
  <si>
    <r>
      <t>さいたま市役所</t>
    </r>
    <r>
      <rPr>
        <sz val="11"/>
        <color theme="1"/>
        <rFont val="游ゴシック"/>
        <family val="2"/>
        <charset val="128"/>
        <scheme val="minor"/>
      </rPr>
      <t xml:space="preserve"> (埼玉県さいたま市浦和区常盤6丁目4番4号)</t>
    </r>
  </si>
  <si>
    <r>
      <t>札幌市役所</t>
    </r>
    <r>
      <rPr>
        <sz val="11"/>
        <color theme="1"/>
        <rFont val="游ゴシック"/>
        <family val="2"/>
        <charset val="128"/>
        <scheme val="minor"/>
      </rPr>
      <t xml:space="preserve"> (北海道札幌市中央区北1条西2丁目)</t>
    </r>
  </si>
  <si>
    <r>
      <t>新潟市役所</t>
    </r>
    <r>
      <rPr>
        <sz val="11"/>
        <color theme="1"/>
        <rFont val="游ゴシック"/>
        <family val="2"/>
        <charset val="128"/>
        <scheme val="minor"/>
      </rPr>
      <t xml:space="preserve"> (新潟県新潟市中央区学校町通1番町602番地1)</t>
    </r>
  </si>
  <si>
    <t>緯度: 35.447734</t>
    <phoneticPr fontId="18"/>
  </si>
  <si>
    <t>経度: 139.642537</t>
    <phoneticPr fontId="18"/>
  </si>
  <si>
    <t>緯度: 35.857033</t>
    <phoneticPr fontId="18"/>
  </si>
  <si>
    <t>経度: 139.649012</t>
    <phoneticPr fontId="18"/>
  </si>
  <si>
    <t>緯度: 43.061945</t>
    <phoneticPr fontId="18"/>
  </si>
  <si>
    <t>経度: 141.354395</t>
    <phoneticPr fontId="18"/>
  </si>
  <si>
    <t>緯度: 37.902451</t>
    <phoneticPr fontId="18"/>
  </si>
  <si>
    <t>経度: 139.023245</t>
    <phoneticPr fontId="18"/>
  </si>
  <si>
    <t>東京都中央区の区役所の緯度と経度は以下の通りです：</t>
  </si>
  <si>
    <r>
      <t>中央区役所</t>
    </r>
    <r>
      <rPr>
        <sz val="11"/>
        <color theme="1"/>
        <rFont val="游ゴシック"/>
        <family val="2"/>
        <charset val="128"/>
        <scheme val="minor"/>
      </rPr>
      <t xml:space="preserve"> (東京都中央区築地1丁目1番1号)</t>
    </r>
  </si>
  <si>
    <t>緯度 (Latitude): 35.671833</t>
    <phoneticPr fontId="18"/>
  </si>
  <si>
    <t>経度 (Longitude): 139.772281</t>
    <phoneticPr fontId="18"/>
  </si>
  <si>
    <t>lat_diff</t>
    <phoneticPr fontId="18"/>
  </si>
  <si>
    <t>lon_diff</t>
    <phoneticPr fontId="18"/>
  </si>
  <si>
    <t>lat_adjust</t>
    <phoneticPr fontId="18"/>
  </si>
  <si>
    <t>lon_adjust</t>
    <phoneticPr fontId="18"/>
  </si>
  <si>
    <t>千葉近郊</t>
    <rPh sb="0" eb="2">
      <t>チバ</t>
    </rPh>
    <phoneticPr fontId="18"/>
  </si>
  <si>
    <t>さいたま近郊</t>
    <phoneticPr fontId="18"/>
  </si>
  <si>
    <t>札幌近郊</t>
    <phoneticPr fontId="18"/>
  </si>
  <si>
    <t>新潟近郊</t>
    <phoneticPr fontId="18"/>
  </si>
  <si>
    <t>千葉近郊で消費lon=+0.02</t>
    <rPh sb="0" eb="2">
      <t>チバ</t>
    </rPh>
    <rPh sb="5" eb="7">
      <t>ショウヒ</t>
    </rPh>
    <phoneticPr fontId="18"/>
  </si>
  <si>
    <t>神戸近郊で消費lon=+0.02</t>
    <rPh sb="0" eb="2">
      <t>コウベ</t>
    </rPh>
    <rPh sb="5" eb="7">
      <t>ショウヒ</t>
    </rPh>
    <phoneticPr fontId="18"/>
  </si>
  <si>
    <t>さいたま近郊で消費lon=+0.02</t>
    <rPh sb="7" eb="9">
      <t>ショウヒ</t>
    </rPh>
    <phoneticPr fontId="18"/>
  </si>
  <si>
    <t>さいたま近郊で保管lon=+0.02</t>
  </si>
  <si>
    <t>さいたま近郊で販売lon=+0.02</t>
    <rPh sb="7" eb="9">
      <t>ハンバイ</t>
    </rPh>
    <phoneticPr fontId="18"/>
  </si>
  <si>
    <t>さいたま近郊で精米lon=+0.02</t>
    <rPh sb="7" eb="9">
      <t>セイマイ</t>
    </rPh>
    <phoneticPr fontId="18"/>
  </si>
  <si>
    <t>千葉近郊で販売lon=+0.02</t>
    <rPh sb="0" eb="2">
      <t>チバ</t>
    </rPh>
    <rPh sb="5" eb="7">
      <t>ハンバイ</t>
    </rPh>
    <phoneticPr fontId="18"/>
  </si>
  <si>
    <t>神戸近郊で販売lon=+0.02</t>
    <rPh sb="0" eb="2">
      <t>コウベ</t>
    </rPh>
    <rPh sb="5" eb="7">
      <t>ハンバイ</t>
    </rPh>
    <phoneticPr fontId="18"/>
  </si>
  <si>
    <t>千葉近郊で保管lon=+0.02</t>
    <rPh sb="0" eb="2">
      <t>チバ</t>
    </rPh>
    <rPh sb="5" eb="7">
      <t>ホカン</t>
    </rPh>
    <phoneticPr fontId="18"/>
  </si>
  <si>
    <t>大阪近郊で保管lon=+0.02</t>
    <rPh sb="0" eb="2">
      <t>オオサカ</t>
    </rPh>
    <phoneticPr fontId="18"/>
  </si>
  <si>
    <t>横浜近郊で保管lon=+0.02</t>
    <rPh sb="0" eb="2">
      <t>ヨコハマ</t>
    </rPh>
    <phoneticPr fontId="18"/>
  </si>
  <si>
    <t>千葉近郊で精米lon=+0.02</t>
    <rPh sb="0" eb="2">
      <t>チバ</t>
    </rPh>
    <rPh sb="5" eb="7">
      <t>セイマイ</t>
    </rPh>
    <phoneticPr fontId="18"/>
  </si>
  <si>
    <t>神戸近郊で精米lon=+0.02</t>
    <rPh sb="0" eb="2">
      <t>コウベ</t>
    </rPh>
    <rPh sb="5" eb="7">
      <t>セイマイ</t>
    </rPh>
    <phoneticPr fontId="18"/>
  </si>
  <si>
    <t>さいたま近郊で販売lon=+0.02/lat=-0.02</t>
    <rPh sb="7" eb="9">
      <t>ハンバイ</t>
    </rPh>
    <phoneticPr fontId="18"/>
  </si>
  <si>
    <t>さいたま近郊で消費lon=+0.02/lat=-0.02</t>
    <rPh sb="7" eb="9">
      <t>ショウヒ</t>
    </rPh>
    <phoneticPr fontId="18"/>
  </si>
  <si>
    <r>
      <t>大阪市役所</t>
    </r>
    <r>
      <rPr>
        <sz val="11"/>
        <color theme="1"/>
        <rFont val="游ゴシック"/>
        <family val="2"/>
        <charset val="128"/>
        <scheme val="minor"/>
      </rPr>
      <t xml:space="preserve"> (大阪府大阪市北区中之島1丁目3番20号)</t>
    </r>
  </si>
  <si>
    <t>参考:</t>
  </si>
  <si>
    <r>
      <t>神戸市役所</t>
    </r>
    <r>
      <rPr>
        <sz val="11"/>
        <color theme="1"/>
        <rFont val="游ゴシック"/>
        <family val="2"/>
        <charset val="128"/>
        <scheme val="minor"/>
      </rPr>
      <t xml:space="preserve"> (兵庫県神戸市中央区加納町6丁目5番1号)</t>
    </r>
  </si>
  <si>
    <t>緯度 (Latitude): 34.693738</t>
    <phoneticPr fontId="18"/>
  </si>
  <si>
    <t>経度 (Longitude): 135.502165</t>
    <phoneticPr fontId="18"/>
  </si>
  <si>
    <t>緯度 (Latitude): 34.689528</t>
    <phoneticPr fontId="18"/>
  </si>
  <si>
    <t>経度 (Longitude): 135.195144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</si>
</sst>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19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40" fontId="0" fillId="0" borderId="0" xfId="1" applyNumberFormat="1" applyFont="1">
      <alignment vertical="center"/>
    </xf>
  </cellXfs>
  <cellStyles count="43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メモ" xfId="16" builtinId="10" customBuiltin="1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桁区切り" xfId="1" builtinId="6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8" builtinId="25" customBuiltin="1"/>
    <cellStyle name="出力" xfId="11" builtinId="21" customBuiltin="1"/>
    <cellStyle name="説明文" xfId="17" builtinId="53" customBuiltin="1"/>
    <cellStyle name="入力" xfId="10" builtinId="20" customBuiltin="1"/>
    <cellStyle name="標準" xfId="0" builtinId="0"/>
    <cellStyle name="良い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C46B4-D872-4503-892C-124396B80244}">
  <dimension ref="A1:K39"/>
  <sheetViews>
    <sheetView tabSelected="1" topLeftCell="A2" workbookViewId="0">
      <selection activeCell="E18" sqref="E18"/>
    </sheetView>
  </sheetViews>
  <sheetFormatPr defaultRowHeight="18" x14ac:dyDescent="0.45"/>
  <cols>
    <col min="1" max="1" width="24.3984375" customWidth="1"/>
    <col min="2" max="3" width="24.3984375" style="5" customWidth="1"/>
    <col min="4" max="4" width="37" bestFit="1" customWidth="1"/>
    <col min="7" max="10" width="8.796875" style="5"/>
  </cols>
  <sheetData>
    <row r="1" spans="1:11" x14ac:dyDescent="0.45">
      <c r="A1" t="s">
        <v>0</v>
      </c>
      <c r="B1" s="5" t="s">
        <v>1</v>
      </c>
      <c r="C1" s="5" t="s">
        <v>2</v>
      </c>
      <c r="D1" t="s">
        <v>23</v>
      </c>
      <c r="E1" t="s">
        <v>41</v>
      </c>
      <c r="F1" t="s">
        <v>42</v>
      </c>
      <c r="G1" s="5" t="s">
        <v>43</v>
      </c>
      <c r="H1" s="5" t="s">
        <v>44</v>
      </c>
    </row>
    <row r="2" spans="1:11" x14ac:dyDescent="0.45">
      <c r="A2" t="s">
        <v>3</v>
      </c>
      <c r="B2" s="5">
        <v>35.447733999999997</v>
      </c>
      <c r="C2" s="5">
        <v>139.642537</v>
      </c>
      <c r="D2" t="s">
        <v>49</v>
      </c>
      <c r="E2">
        <v>0</v>
      </c>
      <c r="F2">
        <v>0.08</v>
      </c>
      <c r="G2" s="5">
        <f>B2+E2</f>
        <v>35.447733999999997</v>
      </c>
      <c r="H2" s="5">
        <f>F2+C2</f>
        <v>139.72253700000002</v>
      </c>
    </row>
    <row r="3" spans="1:11" x14ac:dyDescent="0.45">
      <c r="A3" t="s">
        <v>4</v>
      </c>
      <c r="B3" s="5">
        <v>34.689528000000003</v>
      </c>
      <c r="C3" s="5">
        <v>135.195144</v>
      </c>
      <c r="D3" t="s">
        <v>50</v>
      </c>
      <c r="E3">
        <v>0</v>
      </c>
      <c r="F3">
        <v>0.08</v>
      </c>
      <c r="G3" s="5">
        <f t="shared" ref="G3:G21" si="0">B3+E3</f>
        <v>34.689528000000003</v>
      </c>
      <c r="H3" s="5">
        <f t="shared" ref="H3:H21" si="1">F3+C3</f>
        <v>135.27514400000001</v>
      </c>
    </row>
    <row r="4" spans="1:11" x14ac:dyDescent="0.45">
      <c r="A4" t="s">
        <v>5</v>
      </c>
      <c r="B4" s="5">
        <v>35.447733999999997</v>
      </c>
      <c r="C4" s="5">
        <v>139.642537</v>
      </c>
      <c r="D4" t="s">
        <v>45</v>
      </c>
      <c r="E4">
        <v>0</v>
      </c>
      <c r="F4">
        <v>0</v>
      </c>
      <c r="G4" s="5">
        <f t="shared" si="0"/>
        <v>35.447733999999997</v>
      </c>
      <c r="H4" s="5">
        <f t="shared" si="1"/>
        <v>139.642537</v>
      </c>
      <c r="K4" s="1" t="s">
        <v>25</v>
      </c>
    </row>
    <row r="5" spans="1:11" x14ac:dyDescent="0.45">
      <c r="A5" t="s">
        <v>6</v>
      </c>
      <c r="B5" s="5">
        <v>35.857033000000001</v>
      </c>
      <c r="C5" s="5">
        <v>139.649012</v>
      </c>
      <c r="D5" t="s">
        <v>46</v>
      </c>
      <c r="E5">
        <v>0</v>
      </c>
      <c r="F5">
        <v>0</v>
      </c>
      <c r="G5" s="5">
        <f t="shared" si="0"/>
        <v>35.857033000000001</v>
      </c>
      <c r="H5" s="5">
        <f t="shared" si="1"/>
        <v>139.649012</v>
      </c>
      <c r="K5" s="2"/>
    </row>
    <row r="6" spans="1:11" x14ac:dyDescent="0.45">
      <c r="A6" t="s">
        <v>7</v>
      </c>
      <c r="B6" s="5">
        <v>43.061945000000001</v>
      </c>
      <c r="C6" s="5">
        <v>141.35439500000001</v>
      </c>
      <c r="D6" t="s">
        <v>47</v>
      </c>
      <c r="E6">
        <v>0</v>
      </c>
      <c r="F6">
        <v>0</v>
      </c>
      <c r="G6" s="5">
        <f t="shared" si="0"/>
        <v>43.061945000000001</v>
      </c>
      <c r="H6" s="5">
        <f t="shared" si="1"/>
        <v>141.35439500000001</v>
      </c>
      <c r="K6" s="2" t="s">
        <v>29</v>
      </c>
    </row>
    <row r="7" spans="1:11" x14ac:dyDescent="0.45">
      <c r="A7" t="s">
        <v>8</v>
      </c>
      <c r="B7" s="5">
        <v>37.902450999999999</v>
      </c>
      <c r="C7" s="5">
        <v>139.023245</v>
      </c>
      <c r="D7" t="s">
        <v>48</v>
      </c>
      <c r="E7">
        <v>0</v>
      </c>
      <c r="F7">
        <v>0</v>
      </c>
      <c r="G7" s="5">
        <f t="shared" si="0"/>
        <v>37.902450999999999</v>
      </c>
      <c r="H7" s="5">
        <f t="shared" si="1"/>
        <v>139.023245</v>
      </c>
      <c r="K7" s="2" t="s">
        <v>30</v>
      </c>
    </row>
    <row r="8" spans="1:11" x14ac:dyDescent="0.45">
      <c r="A8" t="s">
        <v>9</v>
      </c>
      <c r="B8" s="5">
        <v>35.857033000000001</v>
      </c>
      <c r="C8" s="5">
        <v>139.649012</v>
      </c>
      <c r="D8" t="s">
        <v>51</v>
      </c>
      <c r="E8">
        <v>0</v>
      </c>
      <c r="F8">
        <v>0.08</v>
      </c>
      <c r="G8" s="5">
        <f t="shared" si="0"/>
        <v>35.857033000000001</v>
      </c>
      <c r="H8" s="5">
        <f t="shared" si="1"/>
        <v>139.72901200000001</v>
      </c>
    </row>
    <row r="9" spans="1:11" x14ac:dyDescent="0.45">
      <c r="A9" t="s">
        <v>10</v>
      </c>
      <c r="B9" s="5">
        <v>35.857033000000001</v>
      </c>
      <c r="C9" s="5">
        <v>139.649012</v>
      </c>
      <c r="D9" t="s">
        <v>52</v>
      </c>
      <c r="E9">
        <v>0</v>
      </c>
      <c r="F9">
        <v>0.02</v>
      </c>
      <c r="G9" s="5">
        <f t="shared" si="0"/>
        <v>35.857033000000001</v>
      </c>
      <c r="H9" s="5">
        <f t="shared" si="1"/>
        <v>139.66901200000001</v>
      </c>
      <c r="K9" s="1" t="s">
        <v>26</v>
      </c>
    </row>
    <row r="10" spans="1:11" x14ac:dyDescent="0.45">
      <c r="A10" t="s">
        <v>11</v>
      </c>
      <c r="B10" s="5">
        <v>35.857033000000001</v>
      </c>
      <c r="C10" s="5">
        <v>139.649012</v>
      </c>
      <c r="D10" t="s">
        <v>53</v>
      </c>
      <c r="E10">
        <v>0</v>
      </c>
      <c r="F10">
        <v>0.06</v>
      </c>
      <c r="G10" s="5">
        <f t="shared" si="0"/>
        <v>35.857033000000001</v>
      </c>
      <c r="H10" s="5">
        <f t="shared" si="1"/>
        <v>139.709012</v>
      </c>
      <c r="K10" s="2"/>
    </row>
    <row r="11" spans="1:11" x14ac:dyDescent="0.45">
      <c r="A11" t="s">
        <v>12</v>
      </c>
      <c r="B11" s="5">
        <v>35.857033000000001</v>
      </c>
      <c r="C11" s="5">
        <v>139.649012</v>
      </c>
      <c r="D11" t="s">
        <v>54</v>
      </c>
      <c r="E11">
        <v>0</v>
      </c>
      <c r="F11">
        <v>0.04</v>
      </c>
      <c r="G11" s="5">
        <f t="shared" si="0"/>
        <v>35.857033000000001</v>
      </c>
      <c r="H11" s="5">
        <f t="shared" si="1"/>
        <v>139.68901199999999</v>
      </c>
      <c r="K11" s="2" t="s">
        <v>31</v>
      </c>
    </row>
    <row r="12" spans="1:11" x14ac:dyDescent="0.45">
      <c r="A12" t="s">
        <v>13</v>
      </c>
      <c r="B12" s="5">
        <v>35.857033000000001</v>
      </c>
      <c r="C12" s="5">
        <v>139.649012</v>
      </c>
      <c r="D12" t="s">
        <v>63</v>
      </c>
      <c r="E12">
        <v>-0.02</v>
      </c>
      <c r="F12">
        <v>0.08</v>
      </c>
      <c r="G12" s="5">
        <f t="shared" si="0"/>
        <v>35.837032999999998</v>
      </c>
      <c r="H12" s="5">
        <f t="shared" si="1"/>
        <v>139.72901200000001</v>
      </c>
      <c r="K12" s="2" t="s">
        <v>32</v>
      </c>
    </row>
    <row r="13" spans="1:11" x14ac:dyDescent="0.45">
      <c r="A13" t="s">
        <v>14</v>
      </c>
      <c r="B13" s="5">
        <v>35.857033000000001</v>
      </c>
      <c r="C13" s="5">
        <v>139.649012</v>
      </c>
      <c r="D13" t="s">
        <v>62</v>
      </c>
      <c r="E13">
        <v>-0.02</v>
      </c>
      <c r="F13">
        <v>0.06</v>
      </c>
      <c r="G13" s="5">
        <f t="shared" si="0"/>
        <v>35.837032999999998</v>
      </c>
      <c r="H13" s="5">
        <f t="shared" si="1"/>
        <v>139.709012</v>
      </c>
    </row>
    <row r="14" spans="1:11" x14ac:dyDescent="0.45">
      <c r="A14" t="s">
        <v>15</v>
      </c>
      <c r="B14" s="5">
        <v>35.447733999999997</v>
      </c>
      <c r="C14" s="5">
        <v>139.642537</v>
      </c>
      <c r="D14" t="s">
        <v>55</v>
      </c>
      <c r="E14">
        <v>0</v>
      </c>
      <c r="F14">
        <v>0.06</v>
      </c>
      <c r="G14" s="5">
        <f t="shared" si="0"/>
        <v>35.447733999999997</v>
      </c>
      <c r="H14" s="5">
        <f t="shared" si="1"/>
        <v>139.70253700000001</v>
      </c>
      <c r="K14" s="1" t="s">
        <v>27</v>
      </c>
    </row>
    <row r="15" spans="1:11" x14ac:dyDescent="0.45">
      <c r="A15" t="s">
        <v>16</v>
      </c>
      <c r="B15" s="5">
        <v>34.689528000000003</v>
      </c>
      <c r="C15" s="5">
        <v>135.195144</v>
      </c>
      <c r="D15" t="s">
        <v>56</v>
      </c>
      <c r="E15">
        <v>0</v>
      </c>
      <c r="F15">
        <v>0.06</v>
      </c>
      <c r="G15" s="5">
        <f t="shared" si="0"/>
        <v>34.689528000000003</v>
      </c>
      <c r="H15" s="5">
        <f t="shared" si="1"/>
        <v>135.255144</v>
      </c>
      <c r="K15" s="2"/>
    </row>
    <row r="16" spans="1:11" x14ac:dyDescent="0.45">
      <c r="A16" t="s">
        <v>17</v>
      </c>
      <c r="B16" s="5">
        <v>35.447733999999997</v>
      </c>
      <c r="C16" s="5">
        <v>139.642537</v>
      </c>
      <c r="D16" t="s">
        <v>57</v>
      </c>
      <c r="E16">
        <v>0</v>
      </c>
      <c r="F16">
        <v>0.02</v>
      </c>
      <c r="G16" s="5">
        <f t="shared" si="0"/>
        <v>35.447733999999997</v>
      </c>
      <c r="H16" s="5">
        <f t="shared" si="1"/>
        <v>139.66253700000001</v>
      </c>
      <c r="K16" s="2" t="s">
        <v>33</v>
      </c>
    </row>
    <row r="17" spans="1:11" x14ac:dyDescent="0.45">
      <c r="A17" t="s">
        <v>18</v>
      </c>
      <c r="B17" s="5">
        <v>34.693738000000003</v>
      </c>
      <c r="C17" s="5">
        <v>135.50216499999999</v>
      </c>
      <c r="D17" t="s">
        <v>58</v>
      </c>
      <c r="E17">
        <v>0</v>
      </c>
      <c r="F17">
        <v>0.02</v>
      </c>
      <c r="G17" s="5">
        <f t="shared" si="0"/>
        <v>34.693738000000003</v>
      </c>
      <c r="H17" s="5">
        <f t="shared" si="1"/>
        <v>135.522165</v>
      </c>
      <c r="K17" s="2" t="s">
        <v>34</v>
      </c>
    </row>
    <row r="18" spans="1:11" x14ac:dyDescent="0.45">
      <c r="A18" t="s">
        <v>19</v>
      </c>
      <c r="B18" s="5">
        <v>35.447733999999997</v>
      </c>
      <c r="C18" s="5">
        <v>139.642537</v>
      </c>
      <c r="D18" t="s">
        <v>59</v>
      </c>
      <c r="E18">
        <v>0</v>
      </c>
      <c r="F18">
        <v>0.02</v>
      </c>
      <c r="G18" s="5">
        <f t="shared" si="0"/>
        <v>35.447733999999997</v>
      </c>
      <c r="H18" s="5">
        <f t="shared" si="1"/>
        <v>139.66253700000001</v>
      </c>
    </row>
    <row r="19" spans="1:11" x14ac:dyDescent="0.45">
      <c r="A19" t="s">
        <v>20</v>
      </c>
      <c r="B19" s="5">
        <v>35.447733999999997</v>
      </c>
      <c r="C19" s="5">
        <v>139.642537</v>
      </c>
      <c r="D19" t="s">
        <v>60</v>
      </c>
      <c r="E19">
        <v>0</v>
      </c>
      <c r="F19">
        <v>0.04</v>
      </c>
      <c r="G19" s="5">
        <f t="shared" si="0"/>
        <v>35.447733999999997</v>
      </c>
      <c r="H19" s="5">
        <f t="shared" si="1"/>
        <v>139.682537</v>
      </c>
      <c r="K19" s="1" t="s">
        <v>28</v>
      </c>
    </row>
    <row r="20" spans="1:11" x14ac:dyDescent="0.45">
      <c r="A20" t="s">
        <v>21</v>
      </c>
      <c r="B20" s="5">
        <v>34.689528000000003</v>
      </c>
      <c r="C20" s="5">
        <v>135.195144</v>
      </c>
      <c r="D20" t="s">
        <v>61</v>
      </c>
      <c r="E20">
        <v>0</v>
      </c>
      <c r="F20">
        <v>0.04</v>
      </c>
      <c r="G20" s="5">
        <f t="shared" si="0"/>
        <v>34.689528000000003</v>
      </c>
      <c r="H20" s="5">
        <f t="shared" si="1"/>
        <v>135.23514399999999</v>
      </c>
      <c r="K20" s="2"/>
    </row>
    <row r="21" spans="1:11" x14ac:dyDescent="0.45">
      <c r="A21" t="s">
        <v>22</v>
      </c>
      <c r="B21" s="5">
        <v>35.671832999999999</v>
      </c>
      <c r="C21" s="5">
        <v>139.77228099999999</v>
      </c>
      <c r="D21" t="s">
        <v>24</v>
      </c>
      <c r="E21">
        <v>0</v>
      </c>
      <c r="F21">
        <v>0</v>
      </c>
      <c r="G21" s="5">
        <f t="shared" si="0"/>
        <v>35.671832999999999</v>
      </c>
      <c r="H21" s="5">
        <f t="shared" si="1"/>
        <v>139.77228099999999</v>
      </c>
      <c r="K21" s="2" t="s">
        <v>35</v>
      </c>
    </row>
    <row r="22" spans="1:11" x14ac:dyDescent="0.45">
      <c r="K22" s="2" t="s">
        <v>36</v>
      </c>
    </row>
    <row r="24" spans="1:11" x14ac:dyDescent="0.45">
      <c r="K24" t="s">
        <v>37</v>
      </c>
    </row>
    <row r="25" spans="1:11" x14ac:dyDescent="0.45">
      <c r="K25" s="2"/>
    </row>
    <row r="26" spans="1:11" x14ac:dyDescent="0.45">
      <c r="K26" s="3" t="s">
        <v>38</v>
      </c>
    </row>
    <row r="27" spans="1:11" x14ac:dyDescent="0.45">
      <c r="K27" s="4" t="s">
        <v>39</v>
      </c>
    </row>
    <row r="28" spans="1:11" x14ac:dyDescent="0.45">
      <c r="K28" s="4" t="s">
        <v>40</v>
      </c>
    </row>
    <row r="30" spans="1:11" x14ac:dyDescent="0.45">
      <c r="K30" s="1" t="s">
        <v>64</v>
      </c>
    </row>
    <row r="31" spans="1:11" x14ac:dyDescent="0.45">
      <c r="K31" s="2"/>
    </row>
    <row r="32" spans="1:11" x14ac:dyDescent="0.45">
      <c r="K32" s="2" t="s">
        <v>67</v>
      </c>
    </row>
    <row r="33" spans="11:11" x14ac:dyDescent="0.45">
      <c r="K33" s="2" t="s">
        <v>68</v>
      </c>
    </row>
    <row r="34" spans="11:11" x14ac:dyDescent="0.45">
      <c r="K34" s="2" t="s">
        <v>65</v>
      </c>
    </row>
    <row r="36" spans="11:11" x14ac:dyDescent="0.45">
      <c r="K36" s="1" t="s">
        <v>66</v>
      </c>
    </row>
    <row r="37" spans="11:11" x14ac:dyDescent="0.45">
      <c r="K37" s="2"/>
    </row>
    <row r="38" spans="11:11" x14ac:dyDescent="0.45">
      <c r="K38" s="2" t="s">
        <v>69</v>
      </c>
    </row>
    <row r="39" spans="11:11" x14ac:dyDescent="0.45">
      <c r="K39" s="2" t="s">
        <v>70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99B1D-AE7A-44EB-B428-26B4070192A0}">
  <dimension ref="A1:K39"/>
  <sheetViews>
    <sheetView topLeftCell="A2" workbookViewId="0">
      <selection activeCell="E18" sqref="E18"/>
    </sheetView>
  </sheetViews>
  <sheetFormatPr defaultRowHeight="18" x14ac:dyDescent="0.45"/>
  <cols>
    <col min="1" max="1" width="24.3984375" customWidth="1"/>
    <col min="2" max="3" width="24.3984375" style="5" customWidth="1"/>
    <col min="4" max="4" width="37" bestFit="1" customWidth="1"/>
    <col min="7" max="10" width="8.796875" style="5"/>
  </cols>
  <sheetData>
    <row r="1" spans="1:11" x14ac:dyDescent="0.45">
      <c r="A1" t="s">
        <v>0</v>
      </c>
      <c r="B1" s="5" t="s">
        <v>1</v>
      </c>
      <c r="C1" s="5" t="s">
        <v>2</v>
      </c>
      <c r="D1" t="s">
        <v>23</v>
      </c>
      <c r="E1" t="s">
        <v>41</v>
      </c>
      <c r="F1" t="s">
        <v>42</v>
      </c>
      <c r="G1" s="5" t="s">
        <v>43</v>
      </c>
      <c r="H1" s="5" t="s">
        <v>44</v>
      </c>
    </row>
    <row r="2" spans="1:11" x14ac:dyDescent="0.45">
      <c r="A2" t="s">
        <v>3</v>
      </c>
      <c r="B2" s="5">
        <v>35.447733999999997</v>
      </c>
      <c r="C2" s="5">
        <v>139.642537</v>
      </c>
      <c r="D2" t="s">
        <v>49</v>
      </c>
      <c r="E2">
        <v>0</v>
      </c>
      <c r="F2">
        <v>0.08</v>
      </c>
      <c r="G2" s="5">
        <f>B2+E2</f>
        <v>35.447733999999997</v>
      </c>
      <c r="H2" s="5">
        <f>F2+C2</f>
        <v>139.72253700000002</v>
      </c>
    </row>
    <row r="3" spans="1:11" x14ac:dyDescent="0.45">
      <c r="A3" t="s">
        <v>4</v>
      </c>
      <c r="B3" s="5">
        <v>34.689528000000003</v>
      </c>
      <c r="C3" s="5">
        <v>135.195144</v>
      </c>
      <c r="D3" t="s">
        <v>50</v>
      </c>
      <c r="E3">
        <v>0</v>
      </c>
      <c r="F3">
        <v>0.08</v>
      </c>
      <c r="G3" s="5">
        <f t="shared" ref="G3:G21" si="0">B3+E3</f>
        <v>34.689528000000003</v>
      </c>
      <c r="H3" s="5">
        <f t="shared" ref="H3:H21" si="1">F3+C3</f>
        <v>135.27514400000001</v>
      </c>
    </row>
    <row r="4" spans="1:11" x14ac:dyDescent="0.45">
      <c r="A4" t="s">
        <v>5</v>
      </c>
      <c r="B4" s="5">
        <v>35.447733999999997</v>
      </c>
      <c r="C4" s="5">
        <v>139.642537</v>
      </c>
      <c r="D4" t="s">
        <v>45</v>
      </c>
      <c r="E4">
        <v>0</v>
      </c>
      <c r="F4">
        <v>0</v>
      </c>
      <c r="G4" s="5">
        <f t="shared" si="0"/>
        <v>35.447733999999997</v>
      </c>
      <c r="H4" s="5">
        <f t="shared" si="1"/>
        <v>139.642537</v>
      </c>
      <c r="K4" s="1" t="s">
        <v>25</v>
      </c>
    </row>
    <row r="5" spans="1:11" x14ac:dyDescent="0.45">
      <c r="A5" t="s">
        <v>6</v>
      </c>
      <c r="B5" s="5">
        <v>35.857033000000001</v>
      </c>
      <c r="C5" s="5">
        <v>139.649012</v>
      </c>
      <c r="D5" t="s">
        <v>46</v>
      </c>
      <c r="E5">
        <v>0</v>
      </c>
      <c r="F5">
        <v>0</v>
      </c>
      <c r="G5" s="5">
        <f t="shared" si="0"/>
        <v>35.857033000000001</v>
      </c>
      <c r="H5" s="5">
        <f t="shared" si="1"/>
        <v>139.649012</v>
      </c>
      <c r="K5" s="2"/>
    </row>
    <row r="6" spans="1:11" x14ac:dyDescent="0.45">
      <c r="A6" t="s">
        <v>7</v>
      </c>
      <c r="B6" s="5">
        <v>43.061945000000001</v>
      </c>
      <c r="C6" s="5">
        <v>141.35439500000001</v>
      </c>
      <c r="D6" t="s">
        <v>47</v>
      </c>
      <c r="E6">
        <v>0</v>
      </c>
      <c r="F6">
        <v>0</v>
      </c>
      <c r="G6" s="5">
        <f t="shared" si="0"/>
        <v>43.061945000000001</v>
      </c>
      <c r="H6" s="5">
        <f t="shared" si="1"/>
        <v>141.35439500000001</v>
      </c>
      <c r="K6" s="2" t="s">
        <v>29</v>
      </c>
    </row>
    <row r="7" spans="1:11" x14ac:dyDescent="0.45">
      <c r="A7" t="s">
        <v>8</v>
      </c>
      <c r="B7" s="5">
        <v>37.902450999999999</v>
      </c>
      <c r="C7" s="5">
        <v>139.023245</v>
      </c>
      <c r="D7" t="s">
        <v>48</v>
      </c>
      <c r="E7">
        <v>0</v>
      </c>
      <c r="F7">
        <v>0</v>
      </c>
      <c r="G7" s="5">
        <f t="shared" si="0"/>
        <v>37.902450999999999</v>
      </c>
      <c r="H7" s="5">
        <f t="shared" si="1"/>
        <v>139.023245</v>
      </c>
      <c r="K7" s="2" t="s">
        <v>30</v>
      </c>
    </row>
    <row r="8" spans="1:11" x14ac:dyDescent="0.45">
      <c r="A8" t="s">
        <v>9</v>
      </c>
      <c r="B8" s="5">
        <v>35.857033000000001</v>
      </c>
      <c r="C8" s="5">
        <v>139.649012</v>
      </c>
      <c r="D8" t="s">
        <v>51</v>
      </c>
      <c r="E8">
        <v>0</v>
      </c>
      <c r="F8">
        <v>0.08</v>
      </c>
      <c r="G8" s="5">
        <f t="shared" si="0"/>
        <v>35.857033000000001</v>
      </c>
      <c r="H8" s="5">
        <f t="shared" si="1"/>
        <v>139.72901200000001</v>
      </c>
    </row>
    <row r="9" spans="1:11" x14ac:dyDescent="0.45">
      <c r="A9" t="s">
        <v>10</v>
      </c>
      <c r="B9" s="5">
        <v>35.857033000000001</v>
      </c>
      <c r="C9" s="5">
        <v>139.649012</v>
      </c>
      <c r="D9" t="s">
        <v>52</v>
      </c>
      <c r="E9">
        <v>0</v>
      </c>
      <c r="F9">
        <v>0.02</v>
      </c>
      <c r="G9" s="5">
        <f t="shared" si="0"/>
        <v>35.857033000000001</v>
      </c>
      <c r="H9" s="5">
        <f t="shared" si="1"/>
        <v>139.66901200000001</v>
      </c>
      <c r="K9" s="1" t="s">
        <v>26</v>
      </c>
    </row>
    <row r="10" spans="1:11" x14ac:dyDescent="0.45">
      <c r="A10" t="s">
        <v>11</v>
      </c>
      <c r="B10" s="5">
        <v>35.857033000000001</v>
      </c>
      <c r="C10" s="5">
        <v>139.649012</v>
      </c>
      <c r="D10" t="s">
        <v>53</v>
      </c>
      <c r="E10">
        <v>0</v>
      </c>
      <c r="F10">
        <v>0.06</v>
      </c>
      <c r="G10" s="5">
        <f t="shared" si="0"/>
        <v>35.857033000000001</v>
      </c>
      <c r="H10" s="5">
        <f t="shared" si="1"/>
        <v>139.709012</v>
      </c>
      <c r="K10" s="2"/>
    </row>
    <row r="11" spans="1:11" x14ac:dyDescent="0.45">
      <c r="A11" t="s">
        <v>12</v>
      </c>
      <c r="B11" s="5">
        <v>35.857033000000001</v>
      </c>
      <c r="C11" s="5">
        <v>139.649012</v>
      </c>
      <c r="D11" t="s">
        <v>54</v>
      </c>
      <c r="E11">
        <v>0</v>
      </c>
      <c r="F11">
        <v>0.04</v>
      </c>
      <c r="G11" s="5">
        <f t="shared" si="0"/>
        <v>35.857033000000001</v>
      </c>
      <c r="H11" s="5">
        <f t="shared" si="1"/>
        <v>139.68901199999999</v>
      </c>
      <c r="K11" s="2" t="s">
        <v>31</v>
      </c>
    </row>
    <row r="12" spans="1:11" x14ac:dyDescent="0.45">
      <c r="A12" t="s">
        <v>13</v>
      </c>
      <c r="B12" s="5">
        <v>35.857033000000001</v>
      </c>
      <c r="C12" s="5">
        <v>139.649012</v>
      </c>
      <c r="D12" t="s">
        <v>63</v>
      </c>
      <c r="E12">
        <v>-0.02</v>
      </c>
      <c r="F12">
        <v>0.08</v>
      </c>
      <c r="G12" s="5">
        <f t="shared" si="0"/>
        <v>35.837032999999998</v>
      </c>
      <c r="H12" s="5">
        <f t="shared" si="1"/>
        <v>139.72901200000001</v>
      </c>
      <c r="K12" s="2" t="s">
        <v>32</v>
      </c>
    </row>
    <row r="13" spans="1:11" x14ac:dyDescent="0.45">
      <c r="A13" t="s">
        <v>14</v>
      </c>
      <c r="B13" s="5">
        <v>35.857033000000001</v>
      </c>
      <c r="C13" s="5">
        <v>139.649012</v>
      </c>
      <c r="D13" t="s">
        <v>62</v>
      </c>
      <c r="E13">
        <v>-0.02</v>
      </c>
      <c r="F13">
        <v>0.06</v>
      </c>
      <c r="G13" s="5">
        <f t="shared" si="0"/>
        <v>35.837032999999998</v>
      </c>
      <c r="H13" s="5">
        <f t="shared" si="1"/>
        <v>139.709012</v>
      </c>
    </row>
    <row r="14" spans="1:11" x14ac:dyDescent="0.45">
      <c r="A14" t="s">
        <v>15</v>
      </c>
      <c r="B14" s="5">
        <v>35.447733999999997</v>
      </c>
      <c r="C14" s="5">
        <v>139.642537</v>
      </c>
      <c r="D14" t="s">
        <v>55</v>
      </c>
      <c r="E14">
        <v>0</v>
      </c>
      <c r="F14">
        <v>0.06</v>
      </c>
      <c r="G14" s="5">
        <f t="shared" si="0"/>
        <v>35.447733999999997</v>
      </c>
      <c r="H14" s="5">
        <f t="shared" si="1"/>
        <v>139.70253700000001</v>
      </c>
      <c r="K14" s="1" t="s">
        <v>27</v>
      </c>
    </row>
    <row r="15" spans="1:11" x14ac:dyDescent="0.45">
      <c r="A15" t="s">
        <v>16</v>
      </c>
      <c r="B15" s="5">
        <v>34.689528000000003</v>
      </c>
      <c r="C15" s="5">
        <v>135.195144</v>
      </c>
      <c r="D15" t="s">
        <v>56</v>
      </c>
      <c r="E15">
        <v>0</v>
      </c>
      <c r="F15">
        <v>0.06</v>
      </c>
      <c r="G15" s="5">
        <f t="shared" si="0"/>
        <v>34.689528000000003</v>
      </c>
      <c r="H15" s="5">
        <f t="shared" si="1"/>
        <v>135.255144</v>
      </c>
      <c r="K15" s="2"/>
    </row>
    <row r="16" spans="1:11" x14ac:dyDescent="0.45">
      <c r="A16" t="s">
        <v>17</v>
      </c>
      <c r="B16" s="5">
        <v>35.447733999999997</v>
      </c>
      <c r="C16" s="5">
        <v>139.642537</v>
      </c>
      <c r="D16" t="s">
        <v>57</v>
      </c>
      <c r="E16">
        <v>0</v>
      </c>
      <c r="F16">
        <v>0.02</v>
      </c>
      <c r="G16" s="5">
        <f t="shared" si="0"/>
        <v>35.447733999999997</v>
      </c>
      <c r="H16" s="5">
        <f t="shared" si="1"/>
        <v>139.66253700000001</v>
      </c>
      <c r="K16" s="2" t="s">
        <v>33</v>
      </c>
    </row>
    <row r="17" spans="1:11" x14ac:dyDescent="0.45">
      <c r="A17" t="s">
        <v>18</v>
      </c>
      <c r="B17" s="5">
        <v>34.693738000000003</v>
      </c>
      <c r="C17" s="5">
        <v>135.50216499999999</v>
      </c>
      <c r="D17" t="s">
        <v>58</v>
      </c>
      <c r="E17">
        <v>0</v>
      </c>
      <c r="F17">
        <v>0.02</v>
      </c>
      <c r="G17" s="5">
        <f t="shared" si="0"/>
        <v>34.693738000000003</v>
      </c>
      <c r="H17" s="5">
        <f t="shared" si="1"/>
        <v>135.522165</v>
      </c>
      <c r="K17" s="2" t="s">
        <v>34</v>
      </c>
    </row>
    <row r="18" spans="1:11" x14ac:dyDescent="0.45">
      <c r="A18" t="s">
        <v>19</v>
      </c>
      <c r="B18" s="5">
        <v>35.447733999999997</v>
      </c>
      <c r="C18" s="5">
        <v>139.642537</v>
      </c>
      <c r="D18" t="s">
        <v>59</v>
      </c>
      <c r="E18">
        <v>0</v>
      </c>
      <c r="F18">
        <v>0.02</v>
      </c>
      <c r="G18" s="5">
        <f t="shared" si="0"/>
        <v>35.447733999999997</v>
      </c>
      <c r="H18" s="5">
        <f t="shared" si="1"/>
        <v>139.66253700000001</v>
      </c>
    </row>
    <row r="19" spans="1:11" x14ac:dyDescent="0.45">
      <c r="A19" t="s">
        <v>20</v>
      </c>
      <c r="B19" s="5">
        <v>35.447733999999997</v>
      </c>
      <c r="C19" s="5">
        <v>139.642537</v>
      </c>
      <c r="D19" t="s">
        <v>60</v>
      </c>
      <c r="E19">
        <v>0</v>
      </c>
      <c r="F19">
        <v>0.04</v>
      </c>
      <c r="G19" s="5">
        <f t="shared" si="0"/>
        <v>35.447733999999997</v>
      </c>
      <c r="H19" s="5">
        <f t="shared" si="1"/>
        <v>139.682537</v>
      </c>
      <c r="K19" s="1" t="s">
        <v>28</v>
      </c>
    </row>
    <row r="20" spans="1:11" x14ac:dyDescent="0.45">
      <c r="A20" t="s">
        <v>21</v>
      </c>
      <c r="B20" s="5">
        <v>34.689528000000003</v>
      </c>
      <c r="C20" s="5">
        <v>135.195144</v>
      </c>
      <c r="D20" t="s">
        <v>61</v>
      </c>
      <c r="E20">
        <v>0</v>
      </c>
      <c r="F20">
        <v>0.04</v>
      </c>
      <c r="G20" s="5">
        <f t="shared" si="0"/>
        <v>34.689528000000003</v>
      </c>
      <c r="H20" s="5">
        <f t="shared" si="1"/>
        <v>135.23514399999999</v>
      </c>
      <c r="K20" s="2"/>
    </row>
    <row r="21" spans="1:11" x14ac:dyDescent="0.45">
      <c r="A21" t="s">
        <v>22</v>
      </c>
      <c r="B21" s="5">
        <v>35.671832999999999</v>
      </c>
      <c r="C21" s="5">
        <v>139.77228099999999</v>
      </c>
      <c r="D21" t="s">
        <v>24</v>
      </c>
      <c r="E21">
        <v>0</v>
      </c>
      <c r="F21">
        <v>0</v>
      </c>
      <c r="G21" s="5">
        <f t="shared" si="0"/>
        <v>35.671832999999999</v>
      </c>
      <c r="H21" s="5">
        <f t="shared" si="1"/>
        <v>139.77228099999999</v>
      </c>
      <c r="K21" s="2" t="s">
        <v>35</v>
      </c>
    </row>
    <row r="22" spans="1:11" x14ac:dyDescent="0.45">
      <c r="K22" s="2" t="s">
        <v>36</v>
      </c>
    </row>
    <row r="24" spans="1:11" x14ac:dyDescent="0.45">
      <c r="K24" t="s">
        <v>37</v>
      </c>
    </row>
    <row r="25" spans="1:11" x14ac:dyDescent="0.45">
      <c r="K25" s="2"/>
    </row>
    <row r="26" spans="1:11" x14ac:dyDescent="0.45">
      <c r="K26" s="3" t="s">
        <v>38</v>
      </c>
    </row>
    <row r="27" spans="1:11" x14ac:dyDescent="0.45">
      <c r="K27" s="4" t="s">
        <v>39</v>
      </c>
    </row>
    <row r="28" spans="1:11" x14ac:dyDescent="0.45">
      <c r="K28" s="4" t="s">
        <v>40</v>
      </c>
    </row>
    <row r="30" spans="1:11" x14ac:dyDescent="0.45">
      <c r="K30" s="1" t="s">
        <v>64</v>
      </c>
    </row>
    <row r="31" spans="1:11" x14ac:dyDescent="0.45">
      <c r="K31" s="2"/>
    </row>
    <row r="32" spans="1:11" x14ac:dyDescent="0.45">
      <c r="K32" s="2" t="s">
        <v>67</v>
      </c>
    </row>
    <row r="33" spans="11:11" x14ac:dyDescent="0.45">
      <c r="K33" s="2" t="s">
        <v>68</v>
      </c>
    </row>
    <row r="34" spans="11:11" x14ac:dyDescent="0.45">
      <c r="K34" s="2" t="s">
        <v>65</v>
      </c>
    </row>
    <row r="36" spans="11:11" x14ac:dyDescent="0.45">
      <c r="K36" s="1" t="s">
        <v>66</v>
      </c>
    </row>
    <row r="37" spans="11:11" x14ac:dyDescent="0.45">
      <c r="K37" s="2"/>
    </row>
    <row r="38" spans="11:11" x14ac:dyDescent="0.45">
      <c r="K38" s="2" t="s">
        <v>69</v>
      </c>
    </row>
    <row r="39" spans="11:11" x14ac:dyDescent="0.45">
      <c r="K39" s="2" t="s">
        <v>70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node_geo</vt:lpstr>
      <vt:lpstr>node_geo作業用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大杉泰司</dc:creator>
  <cp:lastModifiedBy>泰司 大杉</cp:lastModifiedBy>
  <dcterms:created xsi:type="dcterms:W3CDTF">2025-08-24T01:36:02Z</dcterms:created>
  <dcterms:modified xsi:type="dcterms:W3CDTF">2025-08-24T01:36:02Z</dcterms:modified>
</cp:coreProperties>
</file>