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sug\PySI_V0R6M2_RICE_alloc250707\_data_parameters\data_PySI_V0R5_TAX_simulation_MAGA_RICE4\"/>
    </mc:Choice>
  </mc:AlternateContent>
  <xr:revisionPtr revIDLastSave="0" documentId="13_ncr:1_{EF052045-DB66-4B05-97F9-278AB3F9FEC5}" xr6:coauthVersionLast="47" xr6:coauthVersionMax="47" xr10:uidLastSave="{00000000-0000-0000-0000-000000000000}"/>
  <bookViews>
    <workbookView xWindow="-108" yWindow="-108" windowWidth="23256" windowHeight="12456" xr2:uid="{462F025F-3C96-4F14-A3A1-1999546A9CC9}"/>
  </bookViews>
  <sheets>
    <sheet name="P_month_data_BK250708計算調整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5" i="1" l="1"/>
  <c r="N15" i="1"/>
  <c r="M15" i="1"/>
  <c r="L15" i="1"/>
  <c r="K15" i="1"/>
  <c r="J15" i="1"/>
  <c r="P15" i="1" l="1"/>
</calcChain>
</file>

<file path=xl/sharedStrings.xml><?xml version="1.0" encoding="utf-8"?>
<sst xmlns="http://schemas.openxmlformats.org/spreadsheetml/2006/main" count="34" uniqueCount="20">
  <si>
    <t>product_name</t>
  </si>
  <si>
    <t>node_name</t>
  </si>
  <si>
    <t>year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</si>
  <si>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</si>
  <si>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</si>
  <si>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</si>
  <si>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</si>
  <si>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</si>
  <si>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</si>
  <si>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</si>
  <si>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</si>
  <si>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</si>
  <si>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</si>
  <si>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</si>
  <si>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</si>
  <si>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prod-A</t>
  </si>
  <si>
    <t>DADJPN</t>
  </si>
  <si>
    <t>DADCAL</t>
  </si>
  <si>
    <t>DADGSJP</t>
  </si>
  <si>
    <t>総需要のN倍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</si>
</sst>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0" fontId="0" fillId="0" borderId="0" xfId="0" applyNumberFormat="1">
      <alignment vertical="center"/>
    </xf>
    <xf numFmtId="38" fontId="0" fillId="33" borderId="0" xfId="1" applyFont="1" applyFill="1">
      <alignment vertical="center"/>
    </xf>
    <xf numFmtId="40" fontId="0" fillId="33" borderId="0" xfId="1" applyNumberFormat="1" applyFont="1" applyFill="1">
      <alignment vertical="center"/>
    </xf>
    <xf numFmtId="1" fontId="0" fillId="0" borderId="0" xfId="0" applyNumberFormat="1">
      <alignment vertical="center"/>
    </xf>
  </cellXfs>
  <cellStyles count="43">
    <cellStyle name="20% - アクセント 1" xfId="20" builtinId="30" customBuiltin="1"/>
    <cellStyle name="20% - アクセント 2" xfId="24" builtinId="34" customBuiltin="1"/>
    <cellStyle name="20% - アクセント 3" xfId="28" builtinId="38" customBuiltin="1"/>
    <cellStyle name="20% - アクセント 4" xfId="32" builtinId="42" customBuiltin="1"/>
    <cellStyle name="20% - アクセント 5" xfId="36" builtinId="46" customBuiltin="1"/>
    <cellStyle name="20% - アクセント 6" xfId="40" builtinId="50" customBuiltin="1"/>
    <cellStyle name="40% - アクセント 1" xfId="21" builtinId="31" customBuiltin="1"/>
    <cellStyle name="40% - アクセント 2" xfId="25" builtinId="35" customBuiltin="1"/>
    <cellStyle name="40% - アクセント 3" xfId="29" builtinId="39" customBuiltin="1"/>
    <cellStyle name="40% - アクセント 4" xfId="33" builtinId="43" customBuiltin="1"/>
    <cellStyle name="40% - アクセント 5" xfId="37" builtinId="47" customBuiltin="1"/>
    <cellStyle name="40% - アクセント 6" xfId="41" builtinId="51" customBuiltin="1"/>
    <cellStyle name="60% - アクセント 1" xfId="22" builtinId="32" customBuiltin="1"/>
    <cellStyle name="60% - アクセント 2" xfId="26" builtinId="36" customBuiltin="1"/>
    <cellStyle name="60% - アクセント 3" xfId="30" builtinId="40" customBuiltin="1"/>
    <cellStyle name="60% - アクセント 4" xfId="34" builtinId="44" customBuiltin="1"/>
    <cellStyle name="60% - アクセント 5" xfId="38" builtinId="48" customBuiltin="1"/>
    <cellStyle name="60% - アクセント 6" xfId="42" builtinId="52" customBuiltin="1"/>
    <cellStyle name="アクセント 1" xfId="19" builtinId="29" customBuiltin="1"/>
    <cellStyle name="アクセント 2" xfId="23" builtinId="33" customBuiltin="1"/>
    <cellStyle name="アクセント 3" xfId="27" builtinId="37" customBuiltin="1"/>
    <cellStyle name="アクセント 4" xfId="31" builtinId="41" customBuiltin="1"/>
    <cellStyle name="アクセント 5" xfId="35" builtinId="45" customBuiltin="1"/>
    <cellStyle name="アクセント 6" xfId="39" builtinId="49" customBuiltin="1"/>
    <cellStyle name="タイトル" xfId="2" builtinId="15" customBuiltin="1"/>
    <cellStyle name="チェック セル" xfId="14" builtinId="23" customBuiltin="1"/>
    <cellStyle name="どちらでもない" xfId="9" builtinId="28" customBuiltin="1"/>
    <cellStyle name="メモ" xfId="16" builtinId="10" customBuiltin="1"/>
    <cellStyle name="リンク セル" xfId="13" builtinId="24" customBuiltin="1"/>
    <cellStyle name="悪い" xfId="8" builtinId="27" customBuiltin="1"/>
    <cellStyle name="計算" xfId="12" builtinId="22" customBuiltin="1"/>
    <cellStyle name="警告文" xfId="15" builtinId="11" customBuiltin="1"/>
    <cellStyle name="桁区切り" xfId="1" builtinId="6"/>
    <cellStyle name="見出し 1" xfId="3" builtinId="16" customBuiltin="1"/>
    <cellStyle name="見出し 2" xfId="4" builtinId="17" customBuiltin="1"/>
    <cellStyle name="見出し 3" xfId="5" builtinId="18" customBuiltin="1"/>
    <cellStyle name="見出し 4" xfId="6" builtinId="19" customBuiltin="1"/>
    <cellStyle name="集計" xfId="18" builtinId="25" customBuiltin="1"/>
    <cellStyle name="出力" xfId="11" builtinId="21" customBuiltin="1"/>
    <cellStyle name="説明文" xfId="17" builtinId="53" customBuiltin="1"/>
    <cellStyle name="入力" xfId="10" builtinId="20" customBuiltin="1"/>
    <cellStyle name="標準" xfId="0" builtinId="0"/>
    <cellStyle name="良い" xfId="7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ED016-75E5-4888-A558-D817B7535C8B}">
  <dimension ref="A1:R16"/>
  <sheetViews>
    <sheetView tabSelected="1" workbookViewId="0">
      <selection activeCell="J2" sqref="J2:N3"/>
    </sheetView>
  </sheetViews>
  <sheetFormatPr defaultRowHeight="18" x14ac:dyDescent="0.45"/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8" x14ac:dyDescent="0.45">
      <c r="A2" t="s">
        <v>15</v>
      </c>
      <c r="B2" t="s">
        <v>16</v>
      </c>
      <c r="C2">
        <v>2024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4">
        <v>147</v>
      </c>
      <c r="K2" s="4">
        <v>734</v>
      </c>
      <c r="L2" s="4">
        <v>2201</v>
      </c>
      <c r="M2" s="4">
        <v>3470</v>
      </c>
      <c r="N2" s="4">
        <v>587</v>
      </c>
      <c r="O2">
        <v>0</v>
      </c>
    </row>
    <row r="3" spans="1:18" x14ac:dyDescent="0.45">
      <c r="A3" t="s">
        <v>15</v>
      </c>
      <c r="B3" t="s">
        <v>16</v>
      </c>
      <c r="C3">
        <v>2025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 s="4">
        <v>147</v>
      </c>
      <c r="K3" s="4">
        <v>734</v>
      </c>
      <c r="L3" s="4">
        <v>2201</v>
      </c>
      <c r="M3" s="4">
        <v>3470</v>
      </c>
      <c r="N3" s="4">
        <v>587</v>
      </c>
      <c r="O3">
        <v>0</v>
      </c>
    </row>
    <row r="4" spans="1:18" x14ac:dyDescent="0.45">
      <c r="A4" t="s">
        <v>15</v>
      </c>
      <c r="B4" t="s">
        <v>16</v>
      </c>
      <c r="C4">
        <v>2026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8" x14ac:dyDescent="0.45">
      <c r="A5" t="s">
        <v>15</v>
      </c>
      <c r="B5" t="s">
        <v>17</v>
      </c>
      <c r="C5">
        <v>2024</v>
      </c>
      <c r="D5">
        <v>100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8" x14ac:dyDescent="0.45">
      <c r="A6" t="s">
        <v>15</v>
      </c>
      <c r="B6" t="s">
        <v>17</v>
      </c>
      <c r="C6">
        <v>2025</v>
      </c>
      <c r="D6">
        <v>130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8" x14ac:dyDescent="0.45">
      <c r="A7" t="s">
        <v>15</v>
      </c>
      <c r="B7" t="s">
        <v>17</v>
      </c>
      <c r="C7">
        <v>2026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8" x14ac:dyDescent="0.45">
      <c r="A8" t="s">
        <v>15</v>
      </c>
      <c r="B8" t="s">
        <v>18</v>
      </c>
      <c r="C8">
        <v>2024</v>
      </c>
      <c r="D8">
        <v>800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200</v>
      </c>
      <c r="N8">
        <v>0</v>
      </c>
      <c r="O8">
        <v>0</v>
      </c>
    </row>
    <row r="9" spans="1:18" x14ac:dyDescent="0.45">
      <c r="A9" t="s">
        <v>15</v>
      </c>
      <c r="B9" t="s">
        <v>18</v>
      </c>
      <c r="C9">
        <v>2025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8" x14ac:dyDescent="0.45">
      <c r="A10" t="s">
        <v>15</v>
      </c>
      <c r="B10" t="s">
        <v>18</v>
      </c>
      <c r="C10">
        <v>2026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3" spans="1:18" x14ac:dyDescent="0.45">
      <c r="J13" s="1">
        <v>2.06E-2</v>
      </c>
      <c r="K13" s="1">
        <v>0.1028</v>
      </c>
      <c r="L13" s="1">
        <v>0.30830000000000002</v>
      </c>
      <c r="M13" s="1">
        <v>0.48609999999999998</v>
      </c>
      <c r="N13" s="1">
        <v>8.2199999999999995E-2</v>
      </c>
      <c r="O13" s="1">
        <v>0</v>
      </c>
    </row>
    <row r="14" spans="1:18" x14ac:dyDescent="0.45">
      <c r="J14">
        <v>92.5</v>
      </c>
      <c r="K14">
        <v>461.8</v>
      </c>
      <c r="L14">
        <v>1384.8</v>
      </c>
      <c r="M14">
        <v>2183.1999999999998</v>
      </c>
      <c r="N14">
        <v>369.3</v>
      </c>
      <c r="O14">
        <v>0</v>
      </c>
      <c r="P14">
        <v>4491.6000000000004</v>
      </c>
    </row>
    <row r="15" spans="1:18" x14ac:dyDescent="0.45">
      <c r="J15" s="2">
        <f>J14*$Q$15</f>
        <v>138.75</v>
      </c>
      <c r="K15" s="2">
        <f t="shared" ref="K15:O15" si="0">K14*$Q$15</f>
        <v>692.7</v>
      </c>
      <c r="L15" s="2">
        <f t="shared" si="0"/>
        <v>2077.1999999999998</v>
      </c>
      <c r="M15" s="2">
        <f t="shared" si="0"/>
        <v>3274.7999999999997</v>
      </c>
      <c r="N15" s="2">
        <f t="shared" si="0"/>
        <v>553.95000000000005</v>
      </c>
      <c r="O15" s="2">
        <f t="shared" si="0"/>
        <v>0</v>
      </c>
      <c r="P15" s="2">
        <f>SUM(J15:O15)</f>
        <v>6737.3999999999987</v>
      </c>
      <c r="Q15" s="3">
        <v>1.5</v>
      </c>
      <c r="R15" t="s">
        <v>19</v>
      </c>
    </row>
    <row r="16" spans="1:18" x14ac:dyDescent="0.45">
      <c r="J16">
        <v>147</v>
      </c>
      <c r="K16">
        <v>734</v>
      </c>
      <c r="L16">
        <v>2201</v>
      </c>
      <c r="M16">
        <v>3470</v>
      </c>
      <c r="N16">
        <v>587</v>
      </c>
      <c r="O16">
        <v>0</v>
      </c>
      <c r="P16">
        <v>7139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P_month_data_BK250708計算調整用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大杉泰司</dc:creator>
  <cp:lastModifiedBy>泰司 大杉</cp:lastModifiedBy>
  <dcterms:created xsi:type="dcterms:W3CDTF">2025-07-08T07:34:02Z</dcterms:created>
  <dcterms:modified xsi:type="dcterms:W3CDTF">2025-07-08T07:39:02Z</dcterms:modified>
</cp:coreProperties>
</file>