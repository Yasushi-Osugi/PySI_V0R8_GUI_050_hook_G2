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PySI_V0R6M2_RICE\_data_parameters\data_PySI_V0R5_TAX_simulation_MAGA_RICE\"/>
    </mc:Choice>
  </mc:AlternateContent>
  <xr:revisionPtr revIDLastSave="0" documentId="8_{4E5ED06E-987A-4F77-A1FA-83A9BF059556}" xr6:coauthVersionLast="47" xr6:coauthVersionMax="47" xr10:uidLastSave="{00000000-0000-0000-0000-000000000000}"/>
  <bookViews>
    <workbookView xWindow="-108" yWindow="-108" windowWidth="23256" windowHeight="12456" activeTab="1" xr2:uid="{65F93463-7FB7-4F18-919D-585AA127F068}"/>
  </bookViews>
  <sheets>
    <sheet name="rice_consumption (2)" sheetId="2" r:id="rId1"/>
    <sheet name="rice_consumption" sheetId="1" r:id="rId2"/>
  </sheets>
  <calcPr calcId="0"/>
</workbook>
</file>

<file path=xl/calcChain.xml><?xml version="1.0" encoding="utf-8"?>
<calcChain xmlns="http://schemas.openxmlformats.org/spreadsheetml/2006/main">
  <c r="Y12" i="2" l="1"/>
  <c r="Y11" i="2"/>
  <c r="Y10" i="2"/>
  <c r="Y9" i="2"/>
  <c r="Y8" i="2"/>
  <c r="Y7" i="2"/>
  <c r="Y6" i="2"/>
  <c r="Y5" i="2"/>
</calcChain>
</file>

<file path=xl/sharedStrings.xml><?xml version="1.0" encoding="utf-8"?>
<sst xmlns="http://schemas.openxmlformats.org/spreadsheetml/2006/main" count="116" uniqueCount="48">
  <si>
    <t xml:space="preserve"> 年 </t>
  </si>
  <si>
    <t xml:space="preserve"> 総消費量 </t>
  </si>
  <si>
    <t xml:space="preserve"> 一般家庭 </t>
  </si>
  <si>
    <t xml:space="preserve"> 米菓 </t>
  </si>
  <si>
    <t xml:space="preserve"> 工業用 </t>
  </si>
  <si>
    <t xml:space="preserve"> 飼料 </t>
  </si>
  <si>
    <t xml:space="preserve"> その他 </t>
  </si>
  <si>
    <t>----</t>
  </si>
  <si>
    <t>----------</t>
  </si>
  <si>
    <t>---------</t>
  </si>
  <si>
    <t>------</t>
  </si>
  <si>
    <t>--------</t>
  </si>
  <si>
    <t>-------</t>
  </si>
  <si>
    <t xml:space="preserve"> 511 (70%) </t>
  </si>
  <si>
    <t xml:space="preserve"> 44 (6%) </t>
  </si>
  <si>
    <t xml:space="preserve"> 51 (7%) </t>
  </si>
  <si>
    <t xml:space="preserve"> 73 (10%) </t>
  </si>
  <si>
    <t xml:space="preserve"> 504 (70%) </t>
  </si>
  <si>
    <t xml:space="preserve"> 43 (6%) </t>
  </si>
  <si>
    <t xml:space="preserve"> 50 (7%) </t>
  </si>
  <si>
    <t xml:space="preserve"> 54 (7.5%) </t>
  </si>
  <si>
    <t xml:space="preserve"> 69 (9.5%) </t>
  </si>
  <si>
    <t xml:space="preserve"> 497 (70%) </t>
  </si>
  <si>
    <t xml:space="preserve"> 57 (8%) </t>
  </si>
  <si>
    <t xml:space="preserve"> 64 (9%) </t>
  </si>
  <si>
    <t xml:space="preserve"> 483 (69%) </t>
  </si>
  <si>
    <t xml:space="preserve"> 42 (6%) </t>
  </si>
  <si>
    <t xml:space="preserve"> 49 (7%) </t>
  </si>
  <si>
    <t xml:space="preserve"> 60 (8.5%) </t>
  </si>
  <si>
    <t xml:space="preserve"> 66 (9.5%) </t>
  </si>
  <si>
    <t xml:space="preserve"> 469 (68%) </t>
  </si>
  <si>
    <t xml:space="preserve"> 41 (6%) </t>
  </si>
  <si>
    <t xml:space="preserve"> 48 (7%) </t>
  </si>
  <si>
    <t xml:space="preserve"> 62 (9%) </t>
  </si>
  <si>
    <t xml:space="preserve"> 69 (10%) </t>
  </si>
  <si>
    <t xml:space="preserve"> 456 (67%) </t>
  </si>
  <si>
    <t xml:space="preserve"> 65 (9.5%) </t>
  </si>
  <si>
    <t xml:space="preserve"> 71 (10.5%) </t>
  </si>
  <si>
    <t xml:space="preserve"> 442 (66%) </t>
  </si>
  <si>
    <t xml:space="preserve"> 40 (6%) </t>
  </si>
  <si>
    <t xml:space="preserve"> 47 (7%) </t>
  </si>
  <si>
    <t xml:space="preserve"> 67 (10%) </t>
  </si>
  <si>
    <t xml:space="preserve"> 74 (11%) </t>
  </si>
  <si>
    <t xml:space="preserve"> 429 (65%) </t>
  </si>
  <si>
    <t xml:space="preserve"> 46 (7%) </t>
  </si>
  <si>
    <t xml:space="preserve"> 69 (10.5%) </t>
  </si>
  <si>
    <t xml:space="preserve"> 76 (11.5%) </t>
  </si>
  <si>
    <t>万トン</t>
    <rPh sb="0" eb="1">
      <t>マン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</si>
</sst>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10" xfId="0" applyBorder="1">
      <alignment vertical="center"/>
    </xf>
    <xf numFmtId="9" fontId="0" fillId="0" borderId="10" xfId="0" applyNumberFormat="1" applyBorder="1">
      <alignment vertical="center"/>
    </xf>
    <xf numFmtId="10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9746-FDF6-44D6-80C7-C05102EBC297}">
  <dimension ref="C3:Y12"/>
  <sheetViews>
    <sheetView workbookViewId="0">
      <selection activeCell="F14" sqref="F14"/>
    </sheetView>
  </sheetViews>
  <sheetFormatPr defaultRowHeight="18" x14ac:dyDescent="0.45"/>
  <cols>
    <col min="3" max="3" width="5.3984375" bestFit="1" customWidth="1"/>
    <col min="4" max="4" width="9.59765625" bestFit="1" customWidth="1"/>
    <col min="5" max="5" width="10.796875" bestFit="1" customWidth="1"/>
    <col min="6" max="7" width="8.69921875" bestFit="1" customWidth="1"/>
    <col min="8" max="9" width="11.296875" bestFit="1" customWidth="1"/>
    <col min="10" max="12" width="11.296875" customWidth="1"/>
  </cols>
  <sheetData>
    <row r="3" spans="3:25" x14ac:dyDescent="0.4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N3" t="s">
        <v>47</v>
      </c>
    </row>
    <row r="4" spans="3:25" x14ac:dyDescent="0.45"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10</v>
      </c>
      <c r="I4" t="s">
        <v>12</v>
      </c>
      <c r="L4" s="5" t="s">
        <v>0</v>
      </c>
      <c r="M4" s="5" t="s">
        <v>1</v>
      </c>
      <c r="N4" s="5" t="s">
        <v>2</v>
      </c>
      <c r="O4" s="5"/>
      <c r="P4" s="5" t="s">
        <v>3</v>
      </c>
      <c r="Q4" s="5"/>
      <c r="R4" s="5" t="s">
        <v>4</v>
      </c>
      <c r="S4" s="5"/>
      <c r="T4" s="5" t="s">
        <v>5</v>
      </c>
      <c r="U4" s="5"/>
      <c r="V4" s="5" t="s">
        <v>6</v>
      </c>
      <c r="W4" s="5"/>
    </row>
    <row r="5" spans="3:25" x14ac:dyDescent="0.45">
      <c r="C5">
        <v>2022</v>
      </c>
      <c r="D5">
        <v>730</v>
      </c>
      <c r="E5" t="s">
        <v>13</v>
      </c>
      <c r="F5" t="s">
        <v>14</v>
      </c>
      <c r="G5" t="s">
        <v>15</v>
      </c>
      <c r="H5" t="s">
        <v>15</v>
      </c>
      <c r="I5" t="s">
        <v>16</v>
      </c>
      <c r="L5" s="2">
        <v>2022</v>
      </c>
      <c r="M5" s="2">
        <v>730</v>
      </c>
      <c r="N5" s="6">
        <v>511</v>
      </c>
      <c r="O5" s="3">
        <v>0.7</v>
      </c>
      <c r="P5" s="2">
        <v>44</v>
      </c>
      <c r="Q5" s="3">
        <v>0.06</v>
      </c>
      <c r="R5" s="2">
        <v>51</v>
      </c>
      <c r="S5" s="3">
        <v>7.0000000000000007E-2</v>
      </c>
      <c r="T5" s="2">
        <v>51</v>
      </c>
      <c r="U5" s="3">
        <v>7.0000000000000007E-2</v>
      </c>
      <c r="V5" s="2">
        <v>73</v>
      </c>
      <c r="W5" s="3">
        <v>0.1</v>
      </c>
      <c r="Y5" s="1">
        <f>O5+Q5+S5+U5+W5</f>
        <v>1.0000000000000002</v>
      </c>
    </row>
    <row r="6" spans="3:25" x14ac:dyDescent="0.45">
      <c r="C6">
        <v>2023</v>
      </c>
      <c r="D6">
        <v>720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L6" s="2">
        <v>2023</v>
      </c>
      <c r="M6" s="2">
        <v>720</v>
      </c>
      <c r="N6" s="6">
        <v>504</v>
      </c>
      <c r="O6" s="3">
        <v>0.7</v>
      </c>
      <c r="P6" s="2">
        <v>43</v>
      </c>
      <c r="Q6" s="3">
        <v>0.06</v>
      </c>
      <c r="R6" s="2">
        <v>50</v>
      </c>
      <c r="S6" s="3">
        <v>7.0000000000000007E-2</v>
      </c>
      <c r="T6" s="2">
        <v>54</v>
      </c>
      <c r="U6" s="4">
        <v>7.4999999999999997E-2</v>
      </c>
      <c r="V6" s="2">
        <v>69</v>
      </c>
      <c r="W6" s="4">
        <v>9.5000000000000001E-2</v>
      </c>
      <c r="Y6" s="1">
        <f t="shared" ref="Y6:Y12" si="0">O6+Q6+S6+U6+W6</f>
        <v>1</v>
      </c>
    </row>
    <row r="7" spans="3:25" x14ac:dyDescent="0.45">
      <c r="C7">
        <v>2024</v>
      </c>
      <c r="D7">
        <v>710</v>
      </c>
      <c r="E7" t="s">
        <v>22</v>
      </c>
      <c r="F7" t="s">
        <v>18</v>
      </c>
      <c r="G7" t="s">
        <v>19</v>
      </c>
      <c r="H7" t="s">
        <v>23</v>
      </c>
      <c r="I7" t="s">
        <v>24</v>
      </c>
      <c r="L7" s="2">
        <v>2024</v>
      </c>
      <c r="M7" s="2">
        <v>710</v>
      </c>
      <c r="N7" s="6">
        <v>497</v>
      </c>
      <c r="O7" s="3">
        <v>0.7</v>
      </c>
      <c r="P7" s="2">
        <v>43</v>
      </c>
      <c r="Q7" s="3">
        <v>0.06</v>
      </c>
      <c r="R7" s="2">
        <v>50</v>
      </c>
      <c r="S7" s="3">
        <v>7.0000000000000007E-2</v>
      </c>
      <c r="T7" s="2">
        <v>57</v>
      </c>
      <c r="U7" s="3">
        <v>0.08</v>
      </c>
      <c r="V7" s="2">
        <v>64</v>
      </c>
      <c r="W7" s="3">
        <v>0.09</v>
      </c>
      <c r="Y7" s="1">
        <f t="shared" si="0"/>
        <v>1</v>
      </c>
    </row>
    <row r="8" spans="3:25" x14ac:dyDescent="0.45">
      <c r="C8">
        <v>2025</v>
      </c>
      <c r="D8">
        <v>700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L8" s="2">
        <v>2025</v>
      </c>
      <c r="M8" s="2">
        <v>700</v>
      </c>
      <c r="N8" s="7">
        <v>483</v>
      </c>
      <c r="O8" s="3">
        <v>0.69</v>
      </c>
      <c r="P8" s="2">
        <v>42</v>
      </c>
      <c r="Q8" s="3">
        <v>0.06</v>
      </c>
      <c r="R8" s="2">
        <v>49</v>
      </c>
      <c r="S8" s="3">
        <v>7.0000000000000007E-2</v>
      </c>
      <c r="T8" s="2">
        <v>60</v>
      </c>
      <c r="U8" s="4">
        <v>8.5000000000000006E-2</v>
      </c>
      <c r="V8" s="2">
        <v>66</v>
      </c>
      <c r="W8" s="4">
        <v>9.5000000000000001E-2</v>
      </c>
      <c r="Y8" s="1">
        <f t="shared" si="0"/>
        <v>1</v>
      </c>
    </row>
    <row r="9" spans="3:25" x14ac:dyDescent="0.45">
      <c r="C9">
        <v>2026</v>
      </c>
      <c r="D9">
        <v>690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L9" s="2">
        <v>2026</v>
      </c>
      <c r="M9" s="2">
        <v>690</v>
      </c>
      <c r="N9" s="7">
        <v>469</v>
      </c>
      <c r="O9" s="3">
        <v>0.68</v>
      </c>
      <c r="P9" s="2">
        <v>41</v>
      </c>
      <c r="Q9" s="3">
        <v>0.06</v>
      </c>
      <c r="R9" s="2">
        <v>48</v>
      </c>
      <c r="S9" s="3">
        <v>7.0000000000000007E-2</v>
      </c>
      <c r="T9" s="2">
        <v>62</v>
      </c>
      <c r="U9" s="3">
        <v>0.09</v>
      </c>
      <c r="V9" s="2">
        <v>69</v>
      </c>
      <c r="W9" s="3">
        <v>0.1</v>
      </c>
      <c r="Y9" s="1">
        <f t="shared" si="0"/>
        <v>1</v>
      </c>
    </row>
    <row r="10" spans="3:25" x14ac:dyDescent="0.45">
      <c r="C10">
        <v>2027</v>
      </c>
      <c r="D10">
        <v>680</v>
      </c>
      <c r="E10" t="s">
        <v>35</v>
      </c>
      <c r="F10" t="s">
        <v>31</v>
      </c>
      <c r="G10" t="s">
        <v>32</v>
      </c>
      <c r="H10" t="s">
        <v>36</v>
      </c>
      <c r="I10" t="s">
        <v>37</v>
      </c>
      <c r="L10" s="2">
        <v>2027</v>
      </c>
      <c r="M10" s="2">
        <v>680</v>
      </c>
      <c r="N10" s="7">
        <v>456</v>
      </c>
      <c r="O10" s="3">
        <v>0.67</v>
      </c>
      <c r="P10" s="2">
        <v>41</v>
      </c>
      <c r="Q10" s="3">
        <v>0.06</v>
      </c>
      <c r="R10" s="2">
        <v>48</v>
      </c>
      <c r="S10" s="3">
        <v>7.0000000000000007E-2</v>
      </c>
      <c r="T10" s="2">
        <v>65</v>
      </c>
      <c r="U10" s="4">
        <v>9.5000000000000001E-2</v>
      </c>
      <c r="V10" s="2">
        <v>71</v>
      </c>
      <c r="W10" s="4">
        <v>0.105</v>
      </c>
      <c r="Y10" s="1">
        <f t="shared" si="0"/>
        <v>1</v>
      </c>
    </row>
    <row r="11" spans="3:25" x14ac:dyDescent="0.45">
      <c r="C11">
        <v>2028</v>
      </c>
      <c r="D11">
        <v>670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L11" s="2">
        <v>2028</v>
      </c>
      <c r="M11" s="2">
        <v>670</v>
      </c>
      <c r="N11" s="6">
        <v>442</v>
      </c>
      <c r="O11" s="3">
        <v>0.66</v>
      </c>
      <c r="P11" s="2">
        <v>40</v>
      </c>
      <c r="Q11" s="3">
        <v>0.06</v>
      </c>
      <c r="R11" s="2">
        <v>47</v>
      </c>
      <c r="S11" s="3">
        <v>7.0000000000000007E-2</v>
      </c>
      <c r="T11" s="2">
        <v>67</v>
      </c>
      <c r="U11" s="3">
        <v>0.1</v>
      </c>
      <c r="V11" s="2">
        <v>74</v>
      </c>
      <c r="W11" s="3">
        <v>0.11</v>
      </c>
      <c r="Y11" s="1">
        <f t="shared" si="0"/>
        <v>1</v>
      </c>
    </row>
    <row r="12" spans="3:25" x14ac:dyDescent="0.45">
      <c r="C12">
        <v>2029</v>
      </c>
      <c r="D12">
        <v>660</v>
      </c>
      <c r="E12" t="s">
        <v>43</v>
      </c>
      <c r="F12" t="s">
        <v>39</v>
      </c>
      <c r="G12" t="s">
        <v>44</v>
      </c>
      <c r="H12" t="s">
        <v>45</v>
      </c>
      <c r="I12" t="s">
        <v>46</v>
      </c>
      <c r="L12" s="2">
        <v>2029</v>
      </c>
      <c r="M12" s="2">
        <v>660</v>
      </c>
      <c r="N12" s="6">
        <v>429</v>
      </c>
      <c r="O12" s="3">
        <v>0.65</v>
      </c>
      <c r="P12" s="2">
        <v>40</v>
      </c>
      <c r="Q12" s="3">
        <v>0.06</v>
      </c>
      <c r="R12" s="2">
        <v>46</v>
      </c>
      <c r="S12" s="3">
        <v>7.0000000000000007E-2</v>
      </c>
      <c r="T12" s="2">
        <v>69</v>
      </c>
      <c r="U12" s="4">
        <v>0.105</v>
      </c>
      <c r="V12" s="2">
        <v>76</v>
      </c>
      <c r="W12" s="4">
        <v>0.115</v>
      </c>
      <c r="Y12" s="1">
        <f t="shared" si="0"/>
        <v>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1E17-0099-4274-8C60-1680E8720580}">
  <dimension ref="B1:H10"/>
  <sheetViews>
    <sheetView tabSelected="1" workbookViewId="0">
      <selection activeCell="F18" sqref="F18"/>
    </sheetView>
  </sheetViews>
  <sheetFormatPr defaultRowHeight="18" x14ac:dyDescent="0.45"/>
  <sheetData>
    <row r="1" spans="2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4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  <c r="H2" t="s">
        <v>12</v>
      </c>
    </row>
    <row r="3" spans="2:8" x14ac:dyDescent="0.45">
      <c r="B3">
        <v>2022</v>
      </c>
      <c r="C3">
        <v>730</v>
      </c>
      <c r="D3" t="s">
        <v>13</v>
      </c>
      <c r="E3" t="s">
        <v>14</v>
      </c>
      <c r="F3" t="s">
        <v>15</v>
      </c>
      <c r="G3" t="s">
        <v>15</v>
      </c>
      <c r="H3" t="s">
        <v>16</v>
      </c>
    </row>
    <row r="4" spans="2:8" x14ac:dyDescent="0.45">
      <c r="B4">
        <v>2023</v>
      </c>
      <c r="C4">
        <v>720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 spans="2:8" x14ac:dyDescent="0.45">
      <c r="B5">
        <v>2024</v>
      </c>
      <c r="C5">
        <v>710</v>
      </c>
      <c r="D5" t="s">
        <v>22</v>
      </c>
      <c r="E5" t="s">
        <v>18</v>
      </c>
      <c r="F5" t="s">
        <v>19</v>
      </c>
      <c r="G5" t="s">
        <v>23</v>
      </c>
      <c r="H5" t="s">
        <v>24</v>
      </c>
    </row>
    <row r="6" spans="2:8" x14ac:dyDescent="0.45">
      <c r="B6">
        <v>2025</v>
      </c>
      <c r="C6">
        <v>700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  <row r="7" spans="2:8" x14ac:dyDescent="0.45">
      <c r="B7">
        <v>2026</v>
      </c>
      <c r="C7">
        <v>690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 spans="2:8" x14ac:dyDescent="0.45">
      <c r="B8">
        <v>2027</v>
      </c>
      <c r="C8">
        <v>680</v>
      </c>
      <c r="D8" t="s">
        <v>35</v>
      </c>
      <c r="E8" t="s">
        <v>31</v>
      </c>
      <c r="F8" t="s">
        <v>32</v>
      </c>
      <c r="G8" t="s">
        <v>36</v>
      </c>
      <c r="H8" t="s">
        <v>37</v>
      </c>
    </row>
    <row r="9" spans="2:8" x14ac:dyDescent="0.45">
      <c r="B9">
        <v>2028</v>
      </c>
      <c r="C9">
        <v>670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</row>
    <row r="10" spans="2:8" x14ac:dyDescent="0.45">
      <c r="B10">
        <v>2029</v>
      </c>
      <c r="C10">
        <v>660</v>
      </c>
      <c r="D10" t="s">
        <v>43</v>
      </c>
      <c r="E10" t="s">
        <v>39</v>
      </c>
      <c r="F10" t="s">
        <v>44</v>
      </c>
      <c r="G10" t="s">
        <v>45</v>
      </c>
      <c r="H10" t="s">
        <v>46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rice_consumption (2)</vt:lpstr>
      <vt:lpstr>rice_consumption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泰司 大杉</dc:creator>
  <cp:lastModifiedBy>泰司 大杉</cp:lastModifiedBy>
  <dcterms:created xsi:type="dcterms:W3CDTF">2025-06-12T02:26:59Z</dcterms:created>
  <dcterms:modified xsi:type="dcterms:W3CDTF">2025-06-12T02:26:59Z</dcterms:modified>
</cp:coreProperties>
</file>