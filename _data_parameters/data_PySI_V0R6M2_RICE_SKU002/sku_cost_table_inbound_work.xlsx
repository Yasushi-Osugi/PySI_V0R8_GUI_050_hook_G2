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7M2\_data_parameters\data_PySI_V0R6M2_RICE_SKU002\"/>
    </mc:Choice>
  </mc:AlternateContent>
  <xr:revisionPtr revIDLastSave="0" documentId="13_ncr:1_{27BD9466-6258-4D2A-8057-259A5F6DE633}" xr6:coauthVersionLast="47" xr6:coauthVersionMax="47" xr10:uidLastSave="{00000000-0000-0000-0000-000000000000}"/>
  <bookViews>
    <workbookView xWindow="-108" yWindow="-108" windowWidth="23256" windowHeight="12456" xr2:uid="{8C2B51D7-CEA1-4AAE-B0C4-D2223EDDBC6D}"/>
  </bookViews>
  <sheets>
    <sheet name="sku_cost_table_inbound x 100" sheetId="1" r:id="rId1"/>
    <sheet name="sku_cost_table_inbound_BK25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P9" i="1"/>
  <c r="O9" i="1"/>
  <c r="N9" i="1"/>
  <c r="M9" i="1"/>
  <c r="K9" i="1"/>
  <c r="J9" i="1"/>
  <c r="I9" i="1"/>
  <c r="H9" i="1"/>
  <c r="G9" i="1"/>
  <c r="F9" i="1"/>
  <c r="E9" i="1"/>
  <c r="D9" i="1"/>
  <c r="C9" i="1"/>
  <c r="R8" i="1"/>
  <c r="Q8" i="1"/>
  <c r="P8" i="1"/>
  <c r="O8" i="1"/>
  <c r="N8" i="1"/>
  <c r="M8" i="1"/>
  <c r="K8" i="1"/>
  <c r="J8" i="1"/>
  <c r="I8" i="1"/>
  <c r="H8" i="1"/>
  <c r="G8" i="1"/>
  <c r="F8" i="1"/>
  <c r="E8" i="1"/>
  <c r="D8" i="1"/>
  <c r="C8" i="1"/>
  <c r="R7" i="1"/>
  <c r="Q7" i="1"/>
  <c r="P7" i="1"/>
  <c r="O7" i="1"/>
  <c r="N7" i="1"/>
  <c r="M7" i="1"/>
  <c r="K7" i="1"/>
  <c r="J7" i="1"/>
  <c r="I7" i="1"/>
  <c r="H7" i="1"/>
  <c r="G7" i="1"/>
  <c r="F7" i="1"/>
  <c r="E7" i="1"/>
  <c r="D7" i="1"/>
  <c r="C7" i="1"/>
  <c r="R6" i="1"/>
  <c r="Q6" i="1"/>
  <c r="P6" i="1"/>
  <c r="O6" i="1"/>
  <c r="N6" i="1"/>
  <c r="M6" i="1"/>
  <c r="K6" i="1"/>
  <c r="J6" i="1"/>
  <c r="I6" i="1"/>
  <c r="H6" i="1"/>
  <c r="G6" i="1"/>
  <c r="F6" i="1"/>
  <c r="E6" i="1"/>
  <c r="D6" i="1"/>
  <c r="C6" i="1"/>
  <c r="R5" i="1"/>
  <c r="Q5" i="1"/>
  <c r="P5" i="1"/>
  <c r="O5" i="1"/>
  <c r="N5" i="1"/>
  <c r="M5" i="1"/>
  <c r="K5" i="1"/>
  <c r="J5" i="1"/>
  <c r="I5" i="1"/>
  <c r="H5" i="1"/>
  <c r="G5" i="1"/>
  <c r="F5" i="1"/>
  <c r="E5" i="1"/>
  <c r="D5" i="1"/>
  <c r="C5" i="1"/>
  <c r="R4" i="1"/>
  <c r="Q4" i="1"/>
  <c r="P4" i="1"/>
  <c r="O4" i="1"/>
  <c r="N4" i="1"/>
  <c r="M4" i="1"/>
  <c r="K4" i="1"/>
  <c r="J4" i="1"/>
  <c r="I4" i="1"/>
  <c r="H4" i="1"/>
  <c r="G4" i="1"/>
  <c r="F4" i="1"/>
  <c r="E4" i="1"/>
  <c r="D4" i="1"/>
  <c r="C4" i="1"/>
  <c r="R3" i="1"/>
  <c r="Q3" i="1"/>
  <c r="P3" i="1"/>
  <c r="O3" i="1"/>
  <c r="N3" i="1"/>
  <c r="M3" i="1"/>
  <c r="K3" i="1"/>
  <c r="J3" i="1"/>
  <c r="I3" i="1"/>
  <c r="H3" i="1"/>
  <c r="G3" i="1"/>
  <c r="F3" i="1"/>
  <c r="E3" i="1"/>
  <c r="D3" i="1"/>
  <c r="C3" i="1"/>
  <c r="R2" i="1"/>
  <c r="Q2" i="1"/>
  <c r="P2" i="1"/>
  <c r="O2" i="1"/>
  <c r="N2" i="1"/>
  <c r="M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<sst xmlns="http://schemas.openxmlformats.org/spreadsheetml/2006/main" count="68" uniqueCount="30">
  <si>
    <t>product_name</t>
  </si>
  <si>
    <t>node_name</t>
  </si>
  <si>
    <t>price_sales_shipped</t>
  </si>
  <si>
    <t>cost_total</t>
  </si>
  <si>
    <t>profit</t>
  </si>
  <si>
    <t>marketing_promotion</t>
  </si>
  <si>
    <t>sales_admin_cost</t>
  </si>
  <si>
    <t>SGA_total</t>
  </si>
  <si>
    <t>logistics_costs</t>
  </si>
  <si>
    <t>warehouse_cost</t>
  </si>
  <si>
    <t>direct_materials_costs</t>
  </si>
  <si>
    <t>purchase_total_cost</t>
  </si>
  <si>
    <t>prod_indirect_labor</t>
  </si>
  <si>
    <t>prod_indirect_others</t>
  </si>
  <si>
    <t>direct_labor_costs</t>
  </si>
  <si>
    <t>depreciation_others</t>
  </si>
  <si>
    <t>manufacturing_overhead</t>
  </si>
  <si>
    <t>CAL_RICE_1</t>
  </si>
  <si>
    <t>MOMCAL</t>
  </si>
  <si>
    <t>PADCAL</t>
  </si>
  <si>
    <t>JPN_RICE_1</t>
  </si>
  <si>
    <t>MOMJPN</t>
  </si>
  <si>
    <t>PADJPN</t>
  </si>
  <si>
    <t>JPN_Koshihikari</t>
  </si>
  <si>
    <t>MOMKosihikari</t>
  </si>
  <si>
    <t>PADKosihikari</t>
  </si>
  <si>
    <t>Reserv_Rice</t>
  </si>
  <si>
    <t>MOMGSJP</t>
  </si>
  <si>
    <t>PADGSJP</t>
  </si>
  <si>
    <t>tariff_cost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</si>
</sst>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75C9-6A90-425B-9FDB-609D2A5F81DC}">
  <dimension ref="A1:R9"/>
  <sheetViews>
    <sheetView tabSelected="1" workbookViewId="0">
      <selection activeCell="E16" sqref="E16"/>
    </sheetView>
  </sheetViews>
  <sheetFormatPr defaultRowHeight="18" x14ac:dyDescent="0.45"/>
  <cols>
    <col min="11" max="11" width="20.8984375" bestFit="1" customWidth="1"/>
    <col min="12" max="12" width="20.8984375" customWidth="1"/>
    <col min="13" max="13" width="18.5" bestFit="1" customWidth="1"/>
    <col min="14" max="14" width="17.89843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 t="s">
        <v>17</v>
      </c>
      <c r="B2" t="s">
        <v>18</v>
      </c>
      <c r="C2">
        <f>100*'sku_cost_table_inbound_BK25 (2)'!C2</f>
        <v>100</v>
      </c>
      <c r="D2">
        <f>100*'sku_cost_table_inbound_BK25 (2)'!D2</f>
        <v>95</v>
      </c>
      <c r="E2">
        <f>100*'sku_cost_table_inbound_BK25 (2)'!E2</f>
        <v>5</v>
      </c>
      <c r="F2">
        <f>100*'sku_cost_table_inbound_BK25 (2)'!F2</f>
        <v>0</v>
      </c>
      <c r="G2">
        <f>100*'sku_cost_table_inbound_BK25 (2)'!G2</f>
        <v>10</v>
      </c>
      <c r="H2">
        <f>100*'sku_cost_table_inbound_BK25 (2)'!H2</f>
        <v>10</v>
      </c>
      <c r="I2">
        <f>100*'sku_cost_table_inbound_BK25 (2)'!I2</f>
        <v>5</v>
      </c>
      <c r="J2">
        <f>100*'sku_cost_table_inbound_BK25 (2)'!J2</f>
        <v>0</v>
      </c>
      <c r="K2">
        <f>100*'sku_cost_table_inbound_BK25 (2)'!K2</f>
        <v>30</v>
      </c>
      <c r="L2">
        <v>0</v>
      </c>
      <c r="M2">
        <f>100*'sku_cost_table_inbound_BK25 (2)'!M2</f>
        <v>35</v>
      </c>
      <c r="N2">
        <f>100*'sku_cost_table_inbound_BK25 (2)'!N2</f>
        <v>3</v>
      </c>
      <c r="O2">
        <f>100*'sku_cost_table_inbound_BK25 (2)'!O2</f>
        <v>0</v>
      </c>
      <c r="P2">
        <f>100*'sku_cost_table_inbound_BK25 (2)'!P2</f>
        <v>27</v>
      </c>
      <c r="Q2">
        <f>100*'sku_cost_table_inbound_BK25 (2)'!Q2</f>
        <v>15</v>
      </c>
      <c r="R2">
        <f>100*'sku_cost_table_inbound_BK25 (2)'!R2</f>
        <v>45</v>
      </c>
    </row>
    <row r="3" spans="1:18" x14ac:dyDescent="0.45">
      <c r="A3" t="s">
        <v>17</v>
      </c>
      <c r="B3" t="s">
        <v>19</v>
      </c>
      <c r="C3">
        <f>100*'sku_cost_table_inbound_BK25 (2)'!C3</f>
        <v>100</v>
      </c>
      <c r="D3">
        <f>100*'sku_cost_table_inbound_BK25 (2)'!D3</f>
        <v>95</v>
      </c>
      <c r="E3">
        <f>100*'sku_cost_table_inbound_BK25 (2)'!E3</f>
        <v>5</v>
      </c>
      <c r="F3">
        <f>100*'sku_cost_table_inbound_BK25 (2)'!F3</f>
        <v>0</v>
      </c>
      <c r="G3">
        <f>100*'sku_cost_table_inbound_BK25 (2)'!G3</f>
        <v>10</v>
      </c>
      <c r="H3">
        <f>100*'sku_cost_table_inbound_BK25 (2)'!H3</f>
        <v>10</v>
      </c>
      <c r="I3">
        <f>100*'sku_cost_table_inbound_BK25 (2)'!I3</f>
        <v>5</v>
      </c>
      <c r="J3">
        <f>100*'sku_cost_table_inbound_BK25 (2)'!J3</f>
        <v>0</v>
      </c>
      <c r="K3">
        <f>100*'sku_cost_table_inbound_BK25 (2)'!K3</f>
        <v>30</v>
      </c>
      <c r="L3">
        <v>0</v>
      </c>
      <c r="M3">
        <f>100*'sku_cost_table_inbound_BK25 (2)'!M3</f>
        <v>35</v>
      </c>
      <c r="N3">
        <f>100*'sku_cost_table_inbound_BK25 (2)'!N3</f>
        <v>3</v>
      </c>
      <c r="O3">
        <f>100*'sku_cost_table_inbound_BK25 (2)'!O3</f>
        <v>0</v>
      </c>
      <c r="P3">
        <f>100*'sku_cost_table_inbound_BK25 (2)'!P3</f>
        <v>27</v>
      </c>
      <c r="Q3">
        <f>100*'sku_cost_table_inbound_BK25 (2)'!Q3</f>
        <v>15</v>
      </c>
      <c r="R3">
        <f>100*'sku_cost_table_inbound_BK25 (2)'!R3</f>
        <v>45</v>
      </c>
    </row>
    <row r="4" spans="1:18" x14ac:dyDescent="0.45">
      <c r="A4" t="s">
        <v>20</v>
      </c>
      <c r="B4" t="s">
        <v>21</v>
      </c>
      <c r="C4">
        <f>100*'sku_cost_table_inbound_BK25 (2)'!C4</f>
        <v>100</v>
      </c>
      <c r="D4">
        <f>100*'sku_cost_table_inbound_BK25 (2)'!D4</f>
        <v>95</v>
      </c>
      <c r="E4">
        <f>100*'sku_cost_table_inbound_BK25 (2)'!E4</f>
        <v>5</v>
      </c>
      <c r="F4">
        <f>100*'sku_cost_table_inbound_BK25 (2)'!F4</f>
        <v>0</v>
      </c>
      <c r="G4">
        <f>100*'sku_cost_table_inbound_BK25 (2)'!G4</f>
        <v>10</v>
      </c>
      <c r="H4">
        <f>100*'sku_cost_table_inbound_BK25 (2)'!H4</f>
        <v>10</v>
      </c>
      <c r="I4">
        <f>100*'sku_cost_table_inbound_BK25 (2)'!I4</f>
        <v>5</v>
      </c>
      <c r="J4">
        <f>100*'sku_cost_table_inbound_BK25 (2)'!J4</f>
        <v>0</v>
      </c>
      <c r="K4">
        <f>100*'sku_cost_table_inbound_BK25 (2)'!K4</f>
        <v>30</v>
      </c>
      <c r="L4">
        <v>0</v>
      </c>
      <c r="M4">
        <f>100*'sku_cost_table_inbound_BK25 (2)'!M4</f>
        <v>35</v>
      </c>
      <c r="N4">
        <f>100*'sku_cost_table_inbound_BK25 (2)'!N4</f>
        <v>3</v>
      </c>
      <c r="O4">
        <f>100*'sku_cost_table_inbound_BK25 (2)'!O4</f>
        <v>0</v>
      </c>
      <c r="P4">
        <f>100*'sku_cost_table_inbound_BK25 (2)'!P4</f>
        <v>27</v>
      </c>
      <c r="Q4">
        <f>100*'sku_cost_table_inbound_BK25 (2)'!Q4</f>
        <v>15</v>
      </c>
      <c r="R4">
        <f>100*'sku_cost_table_inbound_BK25 (2)'!R4</f>
        <v>45</v>
      </c>
    </row>
    <row r="5" spans="1:18" x14ac:dyDescent="0.45">
      <c r="A5" t="s">
        <v>20</v>
      </c>
      <c r="B5" t="s">
        <v>22</v>
      </c>
      <c r="C5">
        <f>100*'sku_cost_table_inbound_BK25 (2)'!C5</f>
        <v>100</v>
      </c>
      <c r="D5">
        <f>100*'sku_cost_table_inbound_BK25 (2)'!D5</f>
        <v>95</v>
      </c>
      <c r="E5">
        <f>100*'sku_cost_table_inbound_BK25 (2)'!E5</f>
        <v>5</v>
      </c>
      <c r="F5">
        <f>100*'sku_cost_table_inbound_BK25 (2)'!F5</f>
        <v>0</v>
      </c>
      <c r="G5">
        <f>100*'sku_cost_table_inbound_BK25 (2)'!G5</f>
        <v>10</v>
      </c>
      <c r="H5">
        <f>100*'sku_cost_table_inbound_BK25 (2)'!H5</f>
        <v>10</v>
      </c>
      <c r="I5">
        <f>100*'sku_cost_table_inbound_BK25 (2)'!I5</f>
        <v>5</v>
      </c>
      <c r="J5">
        <f>100*'sku_cost_table_inbound_BK25 (2)'!J5</f>
        <v>0</v>
      </c>
      <c r="K5">
        <f>100*'sku_cost_table_inbound_BK25 (2)'!K5</f>
        <v>30</v>
      </c>
      <c r="L5">
        <v>0</v>
      </c>
      <c r="M5">
        <f>100*'sku_cost_table_inbound_BK25 (2)'!M5</f>
        <v>35</v>
      </c>
      <c r="N5">
        <f>100*'sku_cost_table_inbound_BK25 (2)'!N5</f>
        <v>3</v>
      </c>
      <c r="O5">
        <f>100*'sku_cost_table_inbound_BK25 (2)'!O5</f>
        <v>0</v>
      </c>
      <c r="P5">
        <f>100*'sku_cost_table_inbound_BK25 (2)'!P5</f>
        <v>27</v>
      </c>
      <c r="Q5">
        <f>100*'sku_cost_table_inbound_BK25 (2)'!Q5</f>
        <v>15</v>
      </c>
      <c r="R5">
        <f>100*'sku_cost_table_inbound_BK25 (2)'!R5</f>
        <v>45</v>
      </c>
    </row>
    <row r="6" spans="1:18" x14ac:dyDescent="0.45">
      <c r="A6" t="s">
        <v>23</v>
      </c>
      <c r="B6" t="s">
        <v>24</v>
      </c>
      <c r="C6">
        <f>100*'sku_cost_table_inbound_BK25 (2)'!C6</f>
        <v>100</v>
      </c>
      <c r="D6">
        <f>100*'sku_cost_table_inbound_BK25 (2)'!D6</f>
        <v>95</v>
      </c>
      <c r="E6">
        <f>100*'sku_cost_table_inbound_BK25 (2)'!E6</f>
        <v>5</v>
      </c>
      <c r="F6">
        <f>100*'sku_cost_table_inbound_BK25 (2)'!F6</f>
        <v>0</v>
      </c>
      <c r="G6">
        <f>100*'sku_cost_table_inbound_BK25 (2)'!G6</f>
        <v>10</v>
      </c>
      <c r="H6">
        <f>100*'sku_cost_table_inbound_BK25 (2)'!H6</f>
        <v>10</v>
      </c>
      <c r="I6">
        <f>100*'sku_cost_table_inbound_BK25 (2)'!I6</f>
        <v>5</v>
      </c>
      <c r="J6">
        <f>100*'sku_cost_table_inbound_BK25 (2)'!J6</f>
        <v>0</v>
      </c>
      <c r="K6">
        <f>100*'sku_cost_table_inbound_BK25 (2)'!K6</f>
        <v>30</v>
      </c>
      <c r="L6">
        <v>0</v>
      </c>
      <c r="M6">
        <f>100*'sku_cost_table_inbound_BK25 (2)'!M6</f>
        <v>35</v>
      </c>
      <c r="N6">
        <f>100*'sku_cost_table_inbound_BK25 (2)'!N6</f>
        <v>3</v>
      </c>
      <c r="O6">
        <f>100*'sku_cost_table_inbound_BK25 (2)'!O6</f>
        <v>0</v>
      </c>
      <c r="P6">
        <f>100*'sku_cost_table_inbound_BK25 (2)'!P6</f>
        <v>27</v>
      </c>
      <c r="Q6">
        <f>100*'sku_cost_table_inbound_BK25 (2)'!Q6</f>
        <v>15</v>
      </c>
      <c r="R6">
        <f>100*'sku_cost_table_inbound_BK25 (2)'!R6</f>
        <v>45</v>
      </c>
    </row>
    <row r="7" spans="1:18" x14ac:dyDescent="0.45">
      <c r="A7" t="s">
        <v>23</v>
      </c>
      <c r="B7" t="s">
        <v>25</v>
      </c>
      <c r="C7">
        <f>100*'sku_cost_table_inbound_BK25 (2)'!C7</f>
        <v>100</v>
      </c>
      <c r="D7">
        <f>100*'sku_cost_table_inbound_BK25 (2)'!D7</f>
        <v>95</v>
      </c>
      <c r="E7">
        <f>100*'sku_cost_table_inbound_BK25 (2)'!E7</f>
        <v>5</v>
      </c>
      <c r="F7">
        <f>100*'sku_cost_table_inbound_BK25 (2)'!F7</f>
        <v>0</v>
      </c>
      <c r="G7">
        <f>100*'sku_cost_table_inbound_BK25 (2)'!G7</f>
        <v>10</v>
      </c>
      <c r="H7">
        <f>100*'sku_cost_table_inbound_BK25 (2)'!H7</f>
        <v>10</v>
      </c>
      <c r="I7">
        <f>100*'sku_cost_table_inbound_BK25 (2)'!I7</f>
        <v>5</v>
      </c>
      <c r="J7">
        <f>100*'sku_cost_table_inbound_BK25 (2)'!J7</f>
        <v>0</v>
      </c>
      <c r="K7">
        <f>100*'sku_cost_table_inbound_BK25 (2)'!K7</f>
        <v>30</v>
      </c>
      <c r="L7">
        <v>0</v>
      </c>
      <c r="M7">
        <f>100*'sku_cost_table_inbound_BK25 (2)'!M7</f>
        <v>35</v>
      </c>
      <c r="N7">
        <f>100*'sku_cost_table_inbound_BK25 (2)'!N7</f>
        <v>3</v>
      </c>
      <c r="O7">
        <f>100*'sku_cost_table_inbound_BK25 (2)'!O7</f>
        <v>0</v>
      </c>
      <c r="P7">
        <f>100*'sku_cost_table_inbound_BK25 (2)'!P7</f>
        <v>27</v>
      </c>
      <c r="Q7">
        <f>100*'sku_cost_table_inbound_BK25 (2)'!Q7</f>
        <v>15</v>
      </c>
      <c r="R7">
        <f>100*'sku_cost_table_inbound_BK25 (2)'!R7</f>
        <v>45</v>
      </c>
    </row>
    <row r="8" spans="1:18" x14ac:dyDescent="0.45">
      <c r="A8" t="s">
        <v>26</v>
      </c>
      <c r="B8" t="s">
        <v>27</v>
      </c>
      <c r="C8">
        <f>100*'sku_cost_table_inbound_BK25 (2)'!C8</f>
        <v>100</v>
      </c>
      <c r="D8">
        <f>100*'sku_cost_table_inbound_BK25 (2)'!D8</f>
        <v>95</v>
      </c>
      <c r="E8">
        <f>100*'sku_cost_table_inbound_BK25 (2)'!E8</f>
        <v>5</v>
      </c>
      <c r="F8">
        <f>100*'sku_cost_table_inbound_BK25 (2)'!F8</f>
        <v>0</v>
      </c>
      <c r="G8">
        <f>100*'sku_cost_table_inbound_BK25 (2)'!G8</f>
        <v>10</v>
      </c>
      <c r="H8">
        <f>100*'sku_cost_table_inbound_BK25 (2)'!H8</f>
        <v>10</v>
      </c>
      <c r="I8">
        <f>100*'sku_cost_table_inbound_BK25 (2)'!I8</f>
        <v>5</v>
      </c>
      <c r="J8">
        <f>100*'sku_cost_table_inbound_BK25 (2)'!J8</f>
        <v>0</v>
      </c>
      <c r="K8">
        <f>100*'sku_cost_table_inbound_BK25 (2)'!K8</f>
        <v>30</v>
      </c>
      <c r="L8">
        <v>0</v>
      </c>
      <c r="M8">
        <f>100*'sku_cost_table_inbound_BK25 (2)'!M8</f>
        <v>35</v>
      </c>
      <c r="N8">
        <f>100*'sku_cost_table_inbound_BK25 (2)'!N8</f>
        <v>3</v>
      </c>
      <c r="O8">
        <f>100*'sku_cost_table_inbound_BK25 (2)'!O8</f>
        <v>0</v>
      </c>
      <c r="P8">
        <f>100*'sku_cost_table_inbound_BK25 (2)'!P8</f>
        <v>27</v>
      </c>
      <c r="Q8">
        <f>100*'sku_cost_table_inbound_BK25 (2)'!Q8</f>
        <v>15</v>
      </c>
      <c r="R8">
        <f>100*'sku_cost_table_inbound_BK25 (2)'!R8</f>
        <v>45</v>
      </c>
    </row>
    <row r="9" spans="1:18" x14ac:dyDescent="0.45">
      <c r="A9" t="s">
        <v>26</v>
      </c>
      <c r="B9" t="s">
        <v>28</v>
      </c>
      <c r="C9">
        <f>100*'sku_cost_table_inbound_BK25 (2)'!C9</f>
        <v>100</v>
      </c>
      <c r="D9">
        <f>100*'sku_cost_table_inbound_BK25 (2)'!D9</f>
        <v>95</v>
      </c>
      <c r="E9">
        <f>100*'sku_cost_table_inbound_BK25 (2)'!E9</f>
        <v>5</v>
      </c>
      <c r="F9">
        <f>100*'sku_cost_table_inbound_BK25 (2)'!F9</f>
        <v>0</v>
      </c>
      <c r="G9">
        <f>100*'sku_cost_table_inbound_BK25 (2)'!G9</f>
        <v>10</v>
      </c>
      <c r="H9">
        <f>100*'sku_cost_table_inbound_BK25 (2)'!H9</f>
        <v>10</v>
      </c>
      <c r="I9">
        <f>100*'sku_cost_table_inbound_BK25 (2)'!I9</f>
        <v>5</v>
      </c>
      <c r="J9">
        <f>100*'sku_cost_table_inbound_BK25 (2)'!J9</f>
        <v>0</v>
      </c>
      <c r="K9">
        <f>100*'sku_cost_table_inbound_BK25 (2)'!K9</f>
        <v>30</v>
      </c>
      <c r="L9">
        <v>0</v>
      </c>
      <c r="M9">
        <f>100*'sku_cost_table_inbound_BK25 (2)'!M9</f>
        <v>35</v>
      </c>
      <c r="N9">
        <f>100*'sku_cost_table_inbound_BK25 (2)'!N9</f>
        <v>3</v>
      </c>
      <c r="O9">
        <f>100*'sku_cost_table_inbound_BK25 (2)'!O9</f>
        <v>0</v>
      </c>
      <c r="P9">
        <f>100*'sku_cost_table_inbound_BK25 (2)'!P9</f>
        <v>27</v>
      </c>
      <c r="Q9">
        <f>100*'sku_cost_table_inbound_BK25 (2)'!Q9</f>
        <v>15</v>
      </c>
      <c r="R9">
        <f>100*'sku_cost_table_inbound_BK25 (2)'!R9</f>
        <v>45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A45-A908-45FA-90B2-11125C788D3B}">
  <dimension ref="A1:R9"/>
  <sheetViews>
    <sheetView workbookViewId="0">
      <selection activeCell="L1" sqref="L1:L1048576"/>
    </sheetView>
  </sheetViews>
  <sheetFormatPr defaultRowHeight="18" x14ac:dyDescent="0.45"/>
  <cols>
    <col min="11" max="11" width="20.8984375" bestFit="1" customWidth="1"/>
    <col min="12" max="12" width="20.8984375" customWidth="1"/>
    <col min="13" max="13" width="18.5" bestFit="1" customWidth="1"/>
    <col min="14" max="14" width="17.89843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 t="s">
        <v>17</v>
      </c>
      <c r="B2" t="s">
        <v>18</v>
      </c>
      <c r="C2">
        <v>1</v>
      </c>
      <c r="D2">
        <v>0.95</v>
      </c>
      <c r="E2">
        <v>0.05</v>
      </c>
      <c r="F2">
        <v>0</v>
      </c>
      <c r="G2">
        <v>0.1</v>
      </c>
      <c r="H2">
        <v>0.1</v>
      </c>
      <c r="I2">
        <v>0.05</v>
      </c>
      <c r="J2">
        <v>0</v>
      </c>
      <c r="K2">
        <v>0.3</v>
      </c>
      <c r="L2">
        <v>0</v>
      </c>
      <c r="M2">
        <v>0.35</v>
      </c>
      <c r="N2">
        <v>0.03</v>
      </c>
      <c r="O2">
        <v>0</v>
      </c>
      <c r="P2">
        <v>0.27</v>
      </c>
      <c r="Q2">
        <v>0.15</v>
      </c>
      <c r="R2">
        <v>0.45</v>
      </c>
    </row>
    <row r="3" spans="1:18" x14ac:dyDescent="0.45">
      <c r="A3" t="s">
        <v>17</v>
      </c>
      <c r="B3" t="s">
        <v>19</v>
      </c>
      <c r="C3">
        <v>1</v>
      </c>
      <c r="D3">
        <v>0.95</v>
      </c>
      <c r="E3">
        <v>0.05</v>
      </c>
      <c r="F3">
        <v>0</v>
      </c>
      <c r="G3">
        <v>0.1</v>
      </c>
      <c r="H3">
        <v>0.1</v>
      </c>
      <c r="I3">
        <v>0.05</v>
      </c>
      <c r="J3">
        <v>0</v>
      </c>
      <c r="K3">
        <v>0.3</v>
      </c>
      <c r="L3">
        <v>0</v>
      </c>
      <c r="M3">
        <v>0.35</v>
      </c>
      <c r="N3">
        <v>0.03</v>
      </c>
      <c r="O3">
        <v>0</v>
      </c>
      <c r="P3">
        <v>0.27</v>
      </c>
      <c r="Q3">
        <v>0.15</v>
      </c>
      <c r="R3">
        <v>0.45</v>
      </c>
    </row>
    <row r="4" spans="1:18" x14ac:dyDescent="0.45">
      <c r="A4" t="s">
        <v>20</v>
      </c>
      <c r="B4" t="s">
        <v>21</v>
      </c>
      <c r="C4">
        <v>1</v>
      </c>
      <c r="D4">
        <v>0.95</v>
      </c>
      <c r="E4">
        <v>0.05</v>
      </c>
      <c r="F4">
        <v>0</v>
      </c>
      <c r="G4">
        <v>0.1</v>
      </c>
      <c r="H4">
        <v>0.1</v>
      </c>
      <c r="I4">
        <v>0.05</v>
      </c>
      <c r="J4">
        <v>0</v>
      </c>
      <c r="K4">
        <v>0.3</v>
      </c>
      <c r="L4">
        <v>0</v>
      </c>
      <c r="M4">
        <v>0.35</v>
      </c>
      <c r="N4">
        <v>0.03</v>
      </c>
      <c r="O4">
        <v>0</v>
      </c>
      <c r="P4">
        <v>0.27</v>
      </c>
      <c r="Q4">
        <v>0.15</v>
      </c>
      <c r="R4">
        <v>0.45</v>
      </c>
    </row>
    <row r="5" spans="1:18" x14ac:dyDescent="0.45">
      <c r="A5" t="s">
        <v>20</v>
      </c>
      <c r="B5" t="s">
        <v>22</v>
      </c>
      <c r="C5">
        <v>1</v>
      </c>
      <c r="D5">
        <v>0.95</v>
      </c>
      <c r="E5">
        <v>0.05</v>
      </c>
      <c r="F5">
        <v>0</v>
      </c>
      <c r="G5">
        <v>0.1</v>
      </c>
      <c r="H5">
        <v>0.1</v>
      </c>
      <c r="I5">
        <v>0.05</v>
      </c>
      <c r="J5">
        <v>0</v>
      </c>
      <c r="K5">
        <v>0.3</v>
      </c>
      <c r="L5">
        <v>0</v>
      </c>
      <c r="M5">
        <v>0.35</v>
      </c>
      <c r="N5">
        <v>0.03</v>
      </c>
      <c r="O5">
        <v>0</v>
      </c>
      <c r="P5">
        <v>0.27</v>
      </c>
      <c r="Q5">
        <v>0.15</v>
      </c>
      <c r="R5">
        <v>0.45</v>
      </c>
    </row>
    <row r="6" spans="1:18" x14ac:dyDescent="0.45">
      <c r="A6" t="s">
        <v>23</v>
      </c>
      <c r="B6" t="s">
        <v>24</v>
      </c>
      <c r="C6">
        <v>1</v>
      </c>
      <c r="D6">
        <v>0.95</v>
      </c>
      <c r="E6">
        <v>0.05</v>
      </c>
      <c r="F6">
        <v>0</v>
      </c>
      <c r="G6">
        <v>0.1</v>
      </c>
      <c r="H6">
        <v>0.1</v>
      </c>
      <c r="I6">
        <v>0.05</v>
      </c>
      <c r="J6">
        <v>0</v>
      </c>
      <c r="K6">
        <v>0.3</v>
      </c>
      <c r="L6">
        <v>0</v>
      </c>
      <c r="M6">
        <v>0.35</v>
      </c>
      <c r="N6">
        <v>0.03</v>
      </c>
      <c r="O6">
        <v>0</v>
      </c>
      <c r="P6">
        <v>0.27</v>
      </c>
      <c r="Q6">
        <v>0.15</v>
      </c>
      <c r="R6">
        <v>0.45</v>
      </c>
    </row>
    <row r="7" spans="1:18" x14ac:dyDescent="0.45">
      <c r="A7" t="s">
        <v>23</v>
      </c>
      <c r="B7" t="s">
        <v>25</v>
      </c>
      <c r="C7">
        <v>1</v>
      </c>
      <c r="D7">
        <v>0.95</v>
      </c>
      <c r="E7">
        <v>0.05</v>
      </c>
      <c r="F7">
        <v>0</v>
      </c>
      <c r="G7">
        <v>0.1</v>
      </c>
      <c r="H7">
        <v>0.1</v>
      </c>
      <c r="I7">
        <v>0.05</v>
      </c>
      <c r="J7">
        <v>0</v>
      </c>
      <c r="K7">
        <v>0.3</v>
      </c>
      <c r="L7">
        <v>0</v>
      </c>
      <c r="M7">
        <v>0.35</v>
      </c>
      <c r="N7">
        <v>0.03</v>
      </c>
      <c r="O7">
        <v>0</v>
      </c>
      <c r="P7">
        <v>0.27</v>
      </c>
      <c r="Q7">
        <v>0.15</v>
      </c>
      <c r="R7">
        <v>0.45</v>
      </c>
    </row>
    <row r="8" spans="1:18" x14ac:dyDescent="0.45">
      <c r="A8" t="s">
        <v>26</v>
      </c>
      <c r="B8" t="s">
        <v>27</v>
      </c>
      <c r="C8">
        <v>1</v>
      </c>
      <c r="D8">
        <v>0.95</v>
      </c>
      <c r="E8">
        <v>0.05</v>
      </c>
      <c r="F8">
        <v>0</v>
      </c>
      <c r="G8">
        <v>0.1</v>
      </c>
      <c r="H8">
        <v>0.1</v>
      </c>
      <c r="I8">
        <v>0.05</v>
      </c>
      <c r="J8">
        <v>0</v>
      </c>
      <c r="K8">
        <v>0.3</v>
      </c>
      <c r="L8">
        <v>0</v>
      </c>
      <c r="M8">
        <v>0.35</v>
      </c>
      <c r="N8">
        <v>0.03</v>
      </c>
      <c r="O8">
        <v>0</v>
      </c>
      <c r="P8">
        <v>0.27</v>
      </c>
      <c r="Q8">
        <v>0.15</v>
      </c>
      <c r="R8">
        <v>0.45</v>
      </c>
    </row>
    <row r="9" spans="1:18" x14ac:dyDescent="0.45">
      <c r="A9" t="s">
        <v>26</v>
      </c>
      <c r="B9" t="s">
        <v>28</v>
      </c>
      <c r="C9">
        <v>1</v>
      </c>
      <c r="D9">
        <v>0.95</v>
      </c>
      <c r="E9">
        <v>0.05</v>
      </c>
      <c r="F9">
        <v>0</v>
      </c>
      <c r="G9">
        <v>0.1</v>
      </c>
      <c r="H9">
        <v>0.1</v>
      </c>
      <c r="I9">
        <v>0.05</v>
      </c>
      <c r="J9">
        <v>0</v>
      </c>
      <c r="K9">
        <v>0.3</v>
      </c>
      <c r="L9">
        <v>0</v>
      </c>
      <c r="M9">
        <v>0.35</v>
      </c>
      <c r="N9">
        <v>0.03</v>
      </c>
      <c r="O9">
        <v>0</v>
      </c>
      <c r="P9">
        <v>0.27</v>
      </c>
      <c r="Q9">
        <v>0.15</v>
      </c>
      <c r="R9">
        <v>0.45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sku_cost_table_inbound x 100</vt:lpstr>
      <vt:lpstr>sku_cost_table_inbound_BK25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2025-07-30T00:06:28Z</dcterms:created>
  <dcterms:modified xsi:type="dcterms:W3CDTF">2025-07-31T08:13:03Z</dcterms:modified>
</cp:coreProperties>
</file>